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elcapt/Desktop/"/>
    </mc:Choice>
  </mc:AlternateContent>
  <xr:revisionPtr revIDLastSave="0" documentId="8_{69D535D1-6DAB-436A-A184-0F2F1F284345}" xr6:coauthVersionLast="47" xr6:coauthVersionMax="47" xr10:uidLastSave="{00000000-0000-0000-0000-000000000000}"/>
  <bookViews>
    <workbookView xWindow="0" yWindow="600" windowWidth="46080" windowHeight="23500" xr2:uid="{00000000-000D-0000-FFFF-FFFF00000000}"/>
  </bookViews>
  <sheets>
    <sheet name="PERIOD 21 Sep ~ 25 Sep    " sheetId="7" r:id="rId1"/>
    <sheet name="PERIOD 14 Sep ~ 18 Sep    " sheetId="6" r:id="rId2"/>
    <sheet name="PERIOD 7 Sep ~ 11 Sep    " sheetId="4" r:id="rId3"/>
    <sheet name="PERIOD  31 Aug ~ 4 Sep" sheetId="1" r:id="rId4"/>
    <sheet name="Lists" sheetId="2" state="hidden" r:id="rId5"/>
    <sheet name="Blank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6" l="1" a="1"/>
  <c r="V25" i="6"/>
  <c r="V44" i="7" a="1"/>
  <c r="V44" i="7" s="1"/>
  <c r="V43" i="7" a="1"/>
  <c r="V43" i="7" s="1"/>
  <c r="V42" i="7" a="1"/>
  <c r="V42" i="7" s="1"/>
  <c r="V41" i="7" a="1"/>
  <c r="V41" i="7" s="1"/>
  <c r="V36" i="7" a="1"/>
  <c r="V36" i="7" s="1"/>
  <c r="V35" i="7" a="1"/>
  <c r="V35" i="7" s="1"/>
  <c r="V34" i="7" a="1"/>
  <c r="V34" i="7" s="1"/>
  <c r="V33" i="7" a="1"/>
  <c r="V33" i="7" s="1"/>
  <c r="V28" i="7" a="1"/>
  <c r="V28" i="7" s="1"/>
  <c r="V27" i="7" a="1"/>
  <c r="V27" i="7" s="1"/>
  <c r="V26" i="7" a="1"/>
  <c r="V26" i="7" s="1"/>
  <c r="V25" i="7" a="1"/>
  <c r="V25" i="7" s="1"/>
  <c r="V20" i="7" a="1"/>
  <c r="V20" i="7" s="1"/>
  <c r="V19" i="7" a="1"/>
  <c r="V19" i="7" s="1"/>
  <c r="V18" i="7" a="1"/>
  <c r="V18" i="7" s="1"/>
  <c r="V17" i="7" a="1"/>
  <c r="V17" i="7" s="1"/>
  <c r="V12" i="7" a="1"/>
  <c r="V12" i="7" s="1"/>
  <c r="V11" i="7" a="1"/>
  <c r="V11" i="7" s="1"/>
  <c r="V10" i="7" a="1"/>
  <c r="V10" i="7" s="1"/>
  <c r="V9" i="7" a="1"/>
  <c r="V9" i="7" s="1"/>
  <c r="AA1" i="7"/>
  <c r="T1" i="7"/>
  <c r="V44" i="6" a="1"/>
  <c r="V44" i="6" s="1"/>
  <c r="V43" i="6" a="1"/>
  <c r="V43" i="6" s="1"/>
  <c r="V42" i="6" a="1"/>
  <c r="V42" i="6" s="1"/>
  <c r="V41" i="6" a="1"/>
  <c r="V41" i="6" s="1"/>
  <c r="V36" i="6" a="1"/>
  <c r="V36" i="6" s="1"/>
  <c r="V35" i="6" a="1"/>
  <c r="V35" i="6" s="1"/>
  <c r="V34" i="6" a="1"/>
  <c r="V34" i="6" s="1"/>
  <c r="V33" i="6" a="1"/>
  <c r="V33" i="6" s="1"/>
  <c r="V28" i="6" a="1"/>
  <c r="V28" i="6" s="1"/>
  <c r="V27" i="6" a="1"/>
  <c r="V27" i="6" s="1"/>
  <c r="V26" i="6" a="1"/>
  <c r="V26" i="6" s="1"/>
  <c r="V20" i="6" a="1"/>
  <c r="V20" i="6" s="1"/>
  <c r="V19" i="6" a="1"/>
  <c r="V19" i="6" s="1"/>
  <c r="V18" i="6" a="1"/>
  <c r="V18" i="6" s="1"/>
  <c r="V17" i="6" a="1"/>
  <c r="V17" i="6" s="1"/>
  <c r="V12" i="6" a="1"/>
  <c r="V12" i="6" s="1"/>
  <c r="V11" i="6" a="1"/>
  <c r="V11" i="6" s="1"/>
  <c r="V10" i="6" a="1"/>
  <c r="V10" i="6" s="1"/>
  <c r="V9" i="6" a="1"/>
  <c r="V9" i="6" s="1"/>
  <c r="AA1" i="6"/>
  <c r="T1" i="6"/>
  <c r="V44" i="4" a="1"/>
  <c r="V44" i="4" s="1"/>
  <c r="V43" i="4" a="1"/>
  <c r="V43" i="4" s="1"/>
  <c r="V42" i="4" a="1"/>
  <c r="V42" i="4" s="1"/>
  <c r="V41" i="4" a="1"/>
  <c r="V41" i="4" s="1"/>
  <c r="V36" i="4" a="1"/>
  <c r="V36" i="4" s="1"/>
  <c r="V35" i="4" a="1"/>
  <c r="V35" i="4" s="1"/>
  <c r="V34" i="4" a="1"/>
  <c r="V34" i="4" s="1"/>
  <c r="V33" i="4" a="1"/>
  <c r="V33" i="4" s="1"/>
  <c r="V28" i="4" a="1"/>
  <c r="V28" i="4" s="1"/>
  <c r="V27" i="4" a="1"/>
  <c r="V27" i="4" s="1"/>
  <c r="V26" i="4" a="1"/>
  <c r="V26" i="4" s="1"/>
  <c r="V25" i="4" a="1"/>
  <c r="V25" i="4" s="1"/>
  <c r="V20" i="4" a="1"/>
  <c r="V20" i="4" s="1"/>
  <c r="V19" i="4" a="1"/>
  <c r="V19" i="4" s="1"/>
  <c r="V18" i="4" a="1"/>
  <c r="V18" i="4" s="1"/>
  <c r="V17" i="4" a="1"/>
  <c r="V17" i="4" s="1"/>
  <c r="V12" i="4" a="1"/>
  <c r="V12" i="4" s="1"/>
  <c r="V11" i="4" a="1"/>
  <c r="V11" i="4" s="1"/>
  <c r="V10" i="4" a="1"/>
  <c r="V10" i="4" s="1"/>
  <c r="V9" i="4" a="1"/>
  <c r="V9" i="4" s="1"/>
  <c r="AA1" i="4"/>
  <c r="T1" i="4" s="1"/>
  <c r="V44" i="3" a="1"/>
  <c r="V44" i="3" s="1"/>
  <c r="V43" i="3" a="1"/>
  <c r="V43" i="3" s="1"/>
  <c r="V42" i="3" a="1"/>
  <c r="V42" i="3" s="1"/>
  <c r="V41" i="3" a="1"/>
  <c r="V41" i="3" s="1"/>
  <c r="V44" i="1" a="1"/>
  <c r="V44" i="1" s="1"/>
  <c r="V43" i="1" a="1"/>
  <c r="V43" i="1" s="1"/>
  <c r="V42" i="1" a="1"/>
  <c r="V42" i="1" s="1"/>
  <c r="V41" i="1" a="1"/>
  <c r="V41" i="1" s="1"/>
  <c r="V36" i="1" a="1"/>
  <c r="V36" i="1" s="1"/>
  <c r="V35" i="1" a="1"/>
  <c r="V35" i="1" s="1"/>
  <c r="V34" i="1" a="1"/>
  <c r="V34" i="1" s="1"/>
  <c r="V33" i="1" a="1"/>
  <c r="V33" i="1" s="1"/>
  <c r="V28" i="1" a="1"/>
  <c r="V28" i="1" s="1"/>
  <c r="V27" i="1" a="1"/>
  <c r="V27" i="1" s="1"/>
  <c r="V26" i="1" a="1"/>
  <c r="V26" i="1" s="1"/>
  <c r="V25" i="1" a="1"/>
  <c r="V25" i="1" s="1"/>
  <c r="V20" i="1" a="1"/>
  <c r="V20" i="1" s="1"/>
  <c r="V19" i="1" a="1"/>
  <c r="V19" i="1" s="1"/>
  <c r="V18" i="1" a="1"/>
  <c r="V18" i="1" s="1"/>
  <c r="V17" i="1" a="1"/>
  <c r="V17" i="1" s="1"/>
  <c r="V12" i="1" a="1"/>
  <c r="V12" i="1" s="1"/>
  <c r="V11" i="1" a="1"/>
  <c r="V11" i="1" s="1"/>
  <c r="V10" i="1" a="1"/>
  <c r="V10" i="1" s="1"/>
  <c r="V9" i="1" a="1"/>
  <c r="V9" i="1" s="1"/>
  <c r="V12" i="3" a="1"/>
  <c r="V12" i="3" s="1"/>
  <c r="V11" i="3" a="1"/>
  <c r="V11" i="3" s="1"/>
  <c r="V10" i="3" a="1"/>
  <c r="V10" i="3" s="1"/>
  <c r="V9" i="3" a="1"/>
  <c r="V9" i="3" s="1"/>
  <c r="V20" i="3" a="1"/>
  <c r="V20" i="3" s="1"/>
  <c r="V19" i="3" a="1"/>
  <c r="V19" i="3" s="1"/>
  <c r="V18" i="3" a="1"/>
  <c r="V18" i="3" s="1"/>
  <c r="V17" i="3" a="1"/>
  <c r="V17" i="3" s="1"/>
  <c r="V28" i="3" a="1"/>
  <c r="V28" i="3" s="1"/>
  <c r="V27" i="3" a="1"/>
  <c r="V27" i="3" s="1"/>
  <c r="V26" i="3" a="1"/>
  <c r="V26" i="3" s="1"/>
  <c r="V25" i="3" a="1"/>
  <c r="V25" i="3" s="1"/>
  <c r="V36" i="3" a="1"/>
  <c r="V36" i="3" s="1"/>
  <c r="V35" i="3" a="1"/>
  <c r="V35" i="3" s="1"/>
  <c r="V34" i="3" a="1"/>
  <c r="V34" i="3" s="1"/>
  <c r="V33" i="3" a="1"/>
  <c r="V33" i="3" s="1"/>
  <c r="AA1" i="3"/>
  <c r="T1" i="3" s="1"/>
  <c r="AA1" i="1"/>
  <c r="A38" i="1" s="1"/>
  <c r="A38" i="7" l="1"/>
  <c r="A30" i="7"/>
  <c r="A22" i="7"/>
  <c r="A14" i="7"/>
  <c r="A6" i="7"/>
  <c r="A38" i="6"/>
  <c r="A30" i="6"/>
  <c r="A22" i="6"/>
  <c r="A14" i="6"/>
  <c r="A6" i="6"/>
  <c r="A38" i="4"/>
  <c r="A30" i="4"/>
  <c r="A22" i="4"/>
  <c r="A14" i="4"/>
  <c r="A6" i="4"/>
  <c r="A38" i="3"/>
  <c r="A30" i="3"/>
  <c r="A22" i="3"/>
  <c r="A14" i="3"/>
  <c r="A6" i="3"/>
  <c r="T1" i="1"/>
  <c r="A6" i="1"/>
  <c r="A14" i="1"/>
  <c r="A22" i="1"/>
  <c r="A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<sst xmlns="http://schemas.openxmlformats.org/spreadsheetml/2006/main" count="1004" uniqueCount="108">
  <si>
    <t>WEEKLY ONSITE SHIFT</t>
    <phoneticPr fontId="10" type="noConversion"/>
  </si>
  <si>
    <t>YEAR:</t>
  </si>
  <si>
    <t>WEEK:</t>
  </si>
  <si>
    <t>Week 39</t>
  </si>
  <si>
    <t>Do Not delete --&gt;</t>
    <phoneticPr fontId="10" type="noConversion"/>
  </si>
  <si>
    <t>Enter 'In' at your start slot and 'Out' at your final working slot; 
'Shift Time'  will automatically show through the end of the 'Out' block (e.g., 'Out' at 12:30 PM box = Shift ends at 1:00 PM).</t>
  </si>
  <si>
    <t>8:00 AM</t>
  </si>
  <si>
    <t>8:30 AM</t>
  </si>
  <si>
    <t>9:00 AM</t>
  </si>
  <si>
    <t>9:30 AM</t>
  </si>
  <si>
    <t>10:00 AM</t>
  </si>
  <si>
    <t>10:30 AM</t>
  </si>
  <si>
    <t>11:00 AM</t>
  </si>
  <si>
    <t>11:30 AM</t>
  </si>
  <si>
    <t>12:00 PM</t>
  </si>
  <si>
    <t>12:30 PM</t>
  </si>
  <si>
    <t>1:00 PM</t>
  </si>
  <si>
    <t>1:30 PM</t>
  </si>
  <si>
    <t>2:00 PM</t>
  </si>
  <si>
    <t>2:30 PM</t>
  </si>
  <si>
    <t>3:00 PM</t>
  </si>
  <si>
    <t>3:30 PM</t>
  </si>
  <si>
    <t>4:00 PM</t>
  </si>
  <si>
    <t>4:30 PM</t>
  </si>
  <si>
    <t>5:00 PM</t>
  </si>
  <si>
    <t>Campus</t>
  </si>
  <si>
    <t>Onsite</t>
  </si>
  <si>
    <t>Dayoff</t>
    <phoneticPr fontId="10" type="noConversion"/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</si>
  <si>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</si>
  <si>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</si>
  <si>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</si>
  <si>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</si>
  <si>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</si>
  <si>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</si>
  <si>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</si>
  <si>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</si>
  <si>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</si>
  <si>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Shift Time</t>
  </si>
  <si>
    <t>Approval</t>
    <phoneticPr fontId="10" type="noConversion"/>
  </si>
  <si>
    <t>Notes</t>
  </si>
  <si>
    <t>HIO</t>
  </si>
  <si>
    <t>Joseph</t>
  </si>
  <si>
    <t>in</t>
  </si>
  <si>
    <t>out</t>
  </si>
  <si>
    <t>-</t>
  </si>
  <si>
    <t>Harry</t>
  </si>
  <si>
    <t>RDM</t>
  </si>
  <si>
    <t>John</t>
  </si>
  <si>
    <t>Ben</t>
  </si>
  <si>
    <t>Week 38</t>
  </si>
  <si>
    <t>Week 37</t>
  </si>
  <si>
    <t>Airport Badge Meeting at 9-9:30am</t>
  </si>
  <si>
    <t>Week 36</t>
  </si>
  <si>
    <t>Enter 'In' at your start slot and 'Out' at your final working slot
'Shift Time'  will automatically show through the end of the 'Out' block (e.g., 'Out' at 12:30 PM box = Shift ends at 1:00 PM).</t>
  </si>
  <si>
    <r>
      <rPr>
        <b/>
        <sz val="12"/>
        <color rgb="FF1E293B"/>
        <rFont val="Segoe UI Symbol"/>
        <family val="2"/>
        <charset val="129"/>
      </rPr>
      <t>✓</t>
    </r>
    <r>
      <rPr>
        <b/>
        <sz val="12"/>
        <color rgb="FF1E293B"/>
        <rFont val="Segoe UI"/>
        <family val="2"/>
        <charset val="129"/>
      </rPr>
      <t xml:space="preserve"> Approved</t>
    </r>
  </si>
  <si>
    <t>In</t>
  </si>
  <si>
    <t>Out</t>
  </si>
  <si>
    <t>✓ Approved</t>
  </si>
  <si>
    <t>FAA Written Exam Scheduled</t>
    <phoneticPr fontId="10" type="noConversion"/>
  </si>
  <si>
    <t>Week List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</si>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</sst>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scheme val="minor"/>
    </font>
    <font>
      <b/>
      <sz val="9"/>
      <color rgb="FF1E293B"/>
      <name val="Segoe UI"/>
    </font>
    <font>
      <b/>
      <sz val="13"/>
      <color rgb="FFFFFFFF"/>
      <name val="Segoe UI"/>
    </font>
    <font>
      <b/>
      <sz val="9"/>
      <color rgb="FFFFFFFF"/>
      <name val="Segoe UI"/>
    </font>
    <font>
      <b/>
      <sz val="10"/>
      <color rgb="FF1E3A8A"/>
      <name val="Segoe UI"/>
    </font>
    <font>
      <b/>
      <sz val="8"/>
      <color rgb="FF475569"/>
      <name val="Segoe UI"/>
    </font>
    <font>
      <b/>
      <sz val="10"/>
      <color rgb="FF0F172A"/>
      <name val="Segoe UI"/>
    </font>
    <font>
      <b/>
      <sz val="9"/>
      <color rgb="FF334155"/>
      <name val="Segoe UI"/>
    </font>
    <font>
      <b/>
      <sz val="9"/>
      <color rgb="FF166534"/>
      <name val="Segoe UI"/>
    </font>
    <font>
      <sz val="9"/>
      <color rgb="FF334155"/>
      <name val="Segoe UI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2"/>
      <color rgb="FFFFFFFF"/>
      <name val="Segoe UI"/>
    </font>
    <font>
      <sz val="12"/>
      <color theme="1"/>
      <name val="맑은 고딕"/>
      <family val="2"/>
      <scheme val="minor"/>
    </font>
    <font>
      <b/>
      <sz val="16"/>
      <color rgb="FFFFFFFF"/>
      <name val="Segoe UI"/>
    </font>
    <font>
      <sz val="16"/>
      <color theme="1"/>
      <name val="맑은 고딕"/>
      <family val="2"/>
      <scheme val="minor"/>
    </font>
    <font>
      <b/>
      <sz val="10"/>
      <color rgb="FF1E40AF"/>
      <name val="Segoe UI"/>
    </font>
    <font>
      <b/>
      <sz val="9"/>
      <color rgb="FF1E293B"/>
      <name val="Segoe UI"/>
      <family val="2"/>
      <charset val="129"/>
    </font>
    <font>
      <b/>
      <sz val="10"/>
      <color rgb="FF1E293B"/>
      <name val="Segoe UI"/>
    </font>
    <font>
      <b/>
      <sz val="12"/>
      <color rgb="FF1E293B"/>
      <name val="Segoe UI Symbol"/>
      <family val="2"/>
      <charset val="129"/>
    </font>
    <font>
      <b/>
      <sz val="12"/>
      <color rgb="FF1E293B"/>
      <name val="Segoe UI"/>
      <family val="2"/>
      <charset val="129"/>
    </font>
    <font>
      <b/>
      <sz val="12"/>
      <color rgb="FF1E3A8A"/>
      <name val="Segoe UI"/>
    </font>
    <font>
      <b/>
      <sz val="12"/>
      <color rgb="FF1E40AF"/>
      <name val="Segoe UI"/>
    </font>
    <font>
      <b/>
      <sz val="12"/>
      <color rgb="FF1E293B"/>
      <name val="Segoe UI"/>
    </font>
    <font>
      <b/>
      <sz val="12"/>
      <color rgb="FF475569"/>
      <name val="Segoe UI"/>
    </font>
    <font>
      <b/>
      <sz val="12"/>
      <color rgb="FF0F172A"/>
      <name val="Segoe UI"/>
    </font>
    <font>
      <b/>
      <sz val="12"/>
      <color rgb="FF334155"/>
      <name val="Segoe UI"/>
    </font>
    <font>
      <b/>
      <sz val="12"/>
      <color rgb="FF166534"/>
      <name val="Segoe UI"/>
    </font>
    <font>
      <sz val="12"/>
      <color rgb="FF334155"/>
      <name val="Segoe UI"/>
    </font>
    <font>
      <b/>
      <sz val="14"/>
      <color rgb="FFFFFFFF"/>
      <name val="Segoe UI"/>
    </font>
    <font>
      <sz val="14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3A8A"/>
        <bgColor rgb="FF1E3A8A"/>
      </patternFill>
    </fill>
    <fill>
      <patternFill patternType="solid">
        <fgColor rgb="FFEFF6FF"/>
        <bgColor rgb="FFEFF6FF"/>
      </patternFill>
    </fill>
    <fill>
      <patternFill patternType="solid">
        <fgColor rgb="FF2563EB"/>
        <bgColor rgb="FF2563EB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theme="3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dashed">
        <color indexed="64"/>
      </left>
      <right style="thin">
        <color rgb="FFCBD5E1"/>
      </right>
      <top style="dashed">
        <color indexed="64"/>
      </top>
      <bottom style="thin">
        <color rgb="FFCBD5E1"/>
      </bottom>
      <diagonal/>
    </border>
    <border>
      <left style="thin">
        <color rgb="FFCBD5E1"/>
      </left>
      <right style="dashed">
        <color indexed="64"/>
      </right>
      <top style="dashed">
        <color indexed="64"/>
      </top>
      <bottom style="thin">
        <color rgb="FFCBD5E1"/>
      </bottom>
      <diagonal/>
    </border>
    <border>
      <left style="dashed">
        <color indexed="64"/>
      </left>
      <right style="thin">
        <color rgb="FFCBD5E1"/>
      </right>
      <top style="thin">
        <color rgb="FFCBD5E1"/>
      </top>
      <bottom style="dashed">
        <color indexed="64"/>
      </bottom>
      <diagonal/>
    </border>
    <border>
      <left style="thin">
        <color rgb="FFCBD5E1"/>
      </left>
      <right style="dashed">
        <color indexed="64"/>
      </right>
      <top style="thin">
        <color rgb="FFCBD5E1"/>
      </top>
      <bottom style="dashed">
        <color indexed="64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 style="dashed">
        <color indexed="64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dashed">
        <color indexed="64"/>
      </bottom>
      <diagonal/>
    </border>
    <border>
      <left/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dashed">
        <color indexed="64"/>
      </left>
      <right style="thin">
        <color rgb="FFCBD5E1"/>
      </right>
      <top style="dashed">
        <color indexed="64"/>
      </top>
      <bottom/>
      <diagonal/>
    </border>
    <border>
      <left style="thin">
        <color rgb="FFCBD5E1"/>
      </left>
      <right style="dashed">
        <color indexed="64"/>
      </right>
      <top style="dashed">
        <color indexed="64"/>
      </top>
      <bottom/>
      <diagonal/>
    </border>
    <border>
      <left style="thin">
        <color rgb="FFCBD5E1"/>
      </left>
      <right/>
      <top style="thin">
        <color rgb="FFCBD5E1"/>
      </top>
      <bottom style="thin">
        <color indexed="64"/>
      </bottom>
      <diagonal/>
    </border>
    <border>
      <left/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/>
      <diagonal/>
    </border>
    <border>
      <left style="dashed">
        <color indexed="64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dashed">
        <color indexed="64"/>
      </right>
      <top style="thin">
        <color rgb="FFCBD5E1"/>
      </top>
      <bottom/>
      <diagonal/>
    </border>
    <border>
      <left style="thin">
        <color indexed="64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dashed">
        <color indexed="64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dashed">
        <color indexed="64"/>
      </right>
      <top/>
      <bottom style="thin">
        <color rgb="FFCBD5E1"/>
      </bottom>
      <diagonal/>
    </border>
    <border>
      <left style="thin">
        <color indexed="64"/>
      </left>
      <right style="thin">
        <color rgb="FFCBD5E1"/>
      </right>
      <top/>
      <bottom style="medium">
        <color rgb="FF94A3B8"/>
      </bottom>
      <diagonal/>
    </border>
    <border>
      <left style="thin">
        <color rgb="FFCBD5E1"/>
      </left>
      <right/>
      <top/>
      <bottom style="medium">
        <color rgb="FF94A3B8"/>
      </bottom>
      <diagonal/>
    </border>
    <border>
      <left/>
      <right style="thin">
        <color rgb="FFCBD5E1"/>
      </right>
      <top/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/>
      <bottom style="medium">
        <color rgb="FF94A3B8"/>
      </bottom>
      <diagonal/>
    </border>
    <border>
      <left style="thin">
        <color rgb="FFCBD5E1"/>
      </left>
      <right style="thin">
        <color indexed="64"/>
      </right>
      <top/>
      <bottom style="medium">
        <color rgb="FF94A3B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dashed">
        <color indexed="64"/>
      </right>
      <top style="thin">
        <color rgb="FFCBD5E1"/>
      </top>
      <bottom style="thin">
        <color indexed="64"/>
      </bottom>
      <diagonal/>
    </border>
    <border>
      <left/>
      <right style="thin">
        <color rgb="FFCBD5E1"/>
      </right>
      <top style="dashed">
        <color indexed="64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dashed">
        <color indexed="64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dotted">
        <color indexed="64"/>
      </left>
      <right style="dotted">
        <color indexed="64"/>
      </right>
      <top style="thin">
        <color rgb="FFCBD5E1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thin">
        <color rgb="FFCBD5E1"/>
      </bottom>
      <diagonal/>
    </border>
    <border>
      <left style="dotted">
        <color indexed="64"/>
      </left>
      <right style="dotted">
        <color indexed="64"/>
      </right>
      <top/>
      <bottom style="thin">
        <color rgb="FFCBD5E1"/>
      </bottom>
      <diagonal/>
    </border>
    <border>
      <left style="dotted">
        <color indexed="64"/>
      </left>
      <right style="dotted">
        <color indexed="64"/>
      </right>
      <top/>
      <bottom style="medium">
        <color rgb="FF94A3B8"/>
      </bottom>
      <diagonal/>
    </border>
    <border>
      <left style="thin">
        <color rgb="FFCBD5E1"/>
      </left>
      <right style="dashed">
        <color indexed="64"/>
      </right>
      <top/>
      <bottom style="medium">
        <color rgb="FF94A3B8"/>
      </bottom>
      <diagonal/>
    </border>
    <border>
      <left style="dashed">
        <color indexed="64"/>
      </left>
      <right style="thin">
        <color rgb="FFCBD5E1"/>
      </right>
      <top/>
      <bottom style="medium">
        <color rgb="FF94A3B8"/>
      </bottom>
      <diagonal/>
    </border>
    <border>
      <left style="dashed">
        <color indexed="64"/>
      </left>
      <right/>
      <top/>
      <bottom style="medium">
        <color rgb="FF94A3B8"/>
      </bottom>
      <diagonal/>
    </border>
    <border>
      <left/>
      <right style="dashed">
        <color indexed="64"/>
      </right>
      <top/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dotted">
        <color indexed="64"/>
      </left>
      <right style="dotted">
        <color indexed="64"/>
      </right>
      <top style="thin">
        <color rgb="FFCBD5E1"/>
      </top>
      <bottom style="thin">
        <color indexed="64"/>
      </bottom>
      <diagonal/>
    </border>
    <border>
      <left style="dashed">
        <color indexed="64"/>
      </left>
      <right style="thin">
        <color rgb="FFCBD5E1"/>
      </right>
      <top style="medium">
        <color rgb="FF94A3B8"/>
      </top>
      <bottom style="thin">
        <color rgb="FFCBD5E1"/>
      </bottom>
      <diagonal/>
    </border>
    <border>
      <left style="dashed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dashed">
        <color indexed="64"/>
      </left>
      <right style="thin">
        <color rgb="FFCBD5E1"/>
      </right>
      <top/>
      <bottom style="dashed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4" xfId="0" applyBorder="1"/>
    <xf numFmtId="0" fontId="9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3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8" fillId="9" borderId="38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4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4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5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9" borderId="55" xfId="0" applyFont="1" applyFill="1" applyBorder="1" applyAlignment="1">
      <alignment horizontal="center" vertical="center"/>
    </xf>
    <xf numFmtId="0" fontId="8" fillId="9" borderId="56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0" xfId="0" applyFont="1" applyAlignment="1">
      <alignment horizontal="center"/>
    </xf>
    <xf numFmtId="0" fontId="13" fillId="0" borderId="3" xfId="0" applyFont="1" applyBorder="1"/>
    <xf numFmtId="0" fontId="13" fillId="0" borderId="0" xfId="0" applyFont="1" applyAlignment="1">
      <alignment horizontal="center" vertical="center"/>
    </xf>
    <xf numFmtId="0" fontId="24" fillId="7" borderId="43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0" fontId="24" fillId="7" borderId="19" xfId="0" applyFont="1" applyFill="1" applyBorder="1" applyAlignment="1">
      <alignment horizontal="center" vertical="center"/>
    </xf>
    <xf numFmtId="0" fontId="24" fillId="7" borderId="20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4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7" fillId="9" borderId="5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4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7" fillId="9" borderId="56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42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9" fontId="13" fillId="0" borderId="0" xfId="0" applyNumberFormat="1" applyFont="1"/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left" vertical="center" wrapText="1" inden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2" fillId="5" borderId="35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/>
    </xf>
    <xf numFmtId="0" fontId="18" fillId="6" borderId="31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5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23" fillId="6" borderId="31" xfId="0" applyFont="1" applyFill="1" applyBorder="1" applyAlignment="1">
      <alignment horizontal="center" vertical="center"/>
    </xf>
    <xf numFmtId="0" fontId="23" fillId="6" borderId="50" xfId="0" applyFont="1" applyFill="1" applyBorder="1" applyAlignment="1">
      <alignment horizontal="center" vertical="center"/>
    </xf>
    <xf numFmtId="0" fontId="23" fillId="6" borderId="51" xfId="0" applyFont="1" applyFill="1" applyBorder="1" applyAlignment="1">
      <alignment horizontal="center" vertical="center"/>
    </xf>
    <xf numFmtId="0" fontId="23" fillId="6" borderId="5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 wrapText="1"/>
    </xf>
    <xf numFmtId="0" fontId="23" fillId="6" borderId="34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9" fillId="10" borderId="3" xfId="0" applyFont="1" applyFill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left" vertical="center" wrapText="1" indent="1"/>
    </xf>
    <xf numFmtId="0" fontId="23" fillId="6" borderId="48" xfId="0" applyFont="1" applyFill="1" applyBorder="1" applyAlignment="1">
      <alignment horizontal="center" vertical="center"/>
    </xf>
    <xf numFmtId="0" fontId="23" fillId="6" borderId="45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0" fontId="23" fillId="6" borderId="5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3" fillId="6" borderId="30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33" xfId="0" applyFont="1" applyFill="1" applyBorder="1" applyAlignment="1">
      <alignment horizontal="center" vertical="center" wrapText="1"/>
    </xf>
    <xf numFmtId="0" fontId="29" fillId="10" borderId="0" xfId="0" applyFont="1" applyFill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29" fillId="10" borderId="35" xfId="0" applyFont="1" applyFill="1" applyBorder="1" applyAlignment="1">
      <alignment horizontal="center" vertical="center"/>
    </xf>
    <xf numFmtId="0" fontId="23" fillId="6" borderId="53" xfId="0" applyFont="1" applyFill="1" applyBorder="1" applyAlignment="1">
      <alignment horizontal="center" vertical="center" wrapText="1"/>
    </xf>
    <xf numFmtId="0" fontId="0" fillId="2" borderId="2" xfId="0" applyFill="1" applyBorder="1" applyAlignment="1"/>
    <xf numFmtId="0" fontId="15" fillId="3" borderId="2" xfId="0" applyFont="1" applyFill="1" applyBorder="1" applyAlignment="1"/>
    <xf numFmtId="0" fontId="11" fillId="0" borderId="0" xfId="0" applyFont="1" applyAlignment="1"/>
    <xf numFmtId="0" fontId="11" fillId="0" borderId="4" xfId="0" applyFont="1" applyBorder="1" applyAlignment="1"/>
    <xf numFmtId="0" fontId="13" fillId="0" borderId="36" xfId="0" applyFont="1" applyBorder="1" applyAlignment="1"/>
    <xf numFmtId="0" fontId="13" fillId="0" borderId="37" xfId="0" applyFont="1" applyBorder="1" applyAlignment="1"/>
    <xf numFmtId="0" fontId="0" fillId="0" borderId="49" xfId="0" applyBorder="1" applyAlignment="1"/>
    <xf numFmtId="0" fontId="11" fillId="0" borderId="23" xfId="0" applyFont="1" applyBorder="1" applyAlignment="1"/>
    <xf numFmtId="0" fontId="11" fillId="0" borderId="15" xfId="0" applyFont="1" applyBorder="1" applyAlignment="1"/>
    <xf numFmtId="0" fontId="0" fillId="0" borderId="18" xfId="0" applyBorder="1" applyAlignment="1"/>
    <xf numFmtId="0" fontId="0" fillId="0" borderId="5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13" fillId="0" borderId="0" xfId="0" applyFont="1" applyAlignment="1"/>
    <xf numFmtId="0" fontId="13" fillId="0" borderId="4" xfId="0" applyFont="1" applyBorder="1" applyAlignment="1"/>
    <xf numFmtId="0" fontId="13" fillId="2" borderId="2" xfId="0" applyFont="1" applyFill="1" applyBorder="1" applyAlignment="1"/>
    <xf numFmtId="0" fontId="30" fillId="10" borderId="36" xfId="0" applyFont="1" applyFill="1" applyBorder="1" applyAlignment="1"/>
    <xf numFmtId="0" fontId="30" fillId="10" borderId="37" xfId="0" applyFont="1" applyFill="1" applyBorder="1" applyAlignment="1"/>
    <xf numFmtId="0" fontId="13" fillId="0" borderId="49" xfId="0" applyFont="1" applyBorder="1" applyAlignment="1"/>
    <xf numFmtId="0" fontId="13" fillId="0" borderId="23" xfId="0" applyFont="1" applyBorder="1" applyAlignment="1"/>
    <xf numFmtId="0" fontId="13" fillId="0" borderId="15" xfId="0" applyFont="1" applyBorder="1" applyAlignment="1"/>
    <xf numFmtId="0" fontId="13" fillId="0" borderId="18" xfId="0" applyFont="1" applyBorder="1" applyAlignment="1"/>
    <xf numFmtId="0" fontId="13" fillId="0" borderId="5" xfId="0" applyFont="1" applyBorder="1" applyAlignment="1"/>
    <xf numFmtId="0" fontId="13" fillId="0" borderId="13" xfId="0" applyFont="1" applyBorder="1" applyAlignment="1"/>
    <xf numFmtId="0" fontId="13" fillId="0" borderId="7" xfId="0" applyFont="1" applyBorder="1" applyAlignment="1"/>
    <xf numFmtId="0" fontId="30" fillId="10" borderId="0" xfId="0" applyFont="1" applyFill="1" applyAlignment="1"/>
    <xf numFmtId="0" fontId="30" fillId="10" borderId="4" xfId="0" applyFont="1" applyFill="1" applyBorder="1" applyAlignment="1"/>
  </cellXfs>
  <cellStyles count="1">
    <cellStyle name="표준" xfId="0" builtinId="0"/>
  </cellStyles>
  <dxfs count="29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9"/>
        <color rgb="FFFFFFFF"/>
        <name val="Segoe UI"/>
      </font>
      <fill>
        <patternFill patternType="solid">
          <fgColor rgb="FFEF4444"/>
          <bgColor rgb="FFEF4444"/>
        </patternFill>
      </fill>
    </dxf>
    <dxf>
      <font>
        <b/>
        <sz val="9"/>
        <color rgb="FFFFFFFF"/>
        <name val="Segoe UI"/>
      </font>
      <fill>
        <patternFill patternType="solid">
          <fgColor rgb="FF2563EB"/>
          <bgColor rgb="FF2563EB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9"/>
        <color rgb="FFFFFFFF"/>
        <name val="Segoe UI"/>
      </font>
      <fill>
        <patternFill patternType="solid">
          <fgColor rgb="FFEF4444"/>
          <bgColor rgb="FFEF4444"/>
        </patternFill>
      </fill>
    </dxf>
    <dxf>
      <font>
        <b/>
        <sz val="9"/>
        <color rgb="FFFFFFFF"/>
        <name val="Segoe UI"/>
      </font>
      <fill>
        <patternFill patternType="solid">
          <fgColor rgb="FF2563EB"/>
          <bgColor rgb="FF2563EB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9"/>
        <color rgb="FFFFFFFF"/>
        <name val="Segoe UI"/>
      </font>
      <fill>
        <patternFill patternType="solid">
          <fgColor rgb="FFEF4444"/>
          <bgColor rgb="FFEF4444"/>
        </patternFill>
      </fill>
    </dxf>
    <dxf>
      <font>
        <b/>
        <sz val="9"/>
        <color rgb="FFFFFFFF"/>
        <name val="Segoe UI"/>
      </font>
      <fill>
        <patternFill patternType="solid">
          <fgColor rgb="FF2563EB"/>
          <bgColor rgb="FF2563EB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9"/>
        <color rgb="FFFFFFFF"/>
        <name val="Segoe UI"/>
      </font>
      <fill>
        <patternFill patternType="solid">
          <fgColor rgb="FFEF4444"/>
          <bgColor rgb="FFEF4444"/>
        </patternFill>
      </fill>
    </dxf>
    <dxf>
      <font>
        <b/>
        <sz val="9"/>
        <color rgb="FFFFFFFF"/>
        <name val="Segoe UI"/>
      </font>
      <fill>
        <patternFill patternType="solid">
          <fgColor rgb="FF2563EB"/>
          <bgColor rgb="FF2563EB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4A3B8"/>
        <name val="Segoe UI"/>
      </font>
      <fill>
        <patternFill patternType="solid">
          <fgColor rgb="FFF1F5F9"/>
          <bgColor rgb="FFF1F5F9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b/>
        <sz val="9"/>
        <color rgb="FFFFFFFF"/>
        <name val="Segoe UI"/>
      </font>
      <fill>
        <patternFill patternType="solid">
          <fgColor rgb="FFEF4444"/>
          <bgColor rgb="FFEF4444"/>
        </patternFill>
      </fill>
    </dxf>
    <dxf>
      <font>
        <b/>
        <sz val="9"/>
        <color rgb="FFFFFFFF"/>
        <name val="Segoe UI"/>
      </font>
      <fill>
        <patternFill patternType="solid">
          <fgColor rgb="FF2563EB"/>
          <bgColor rgb="FF2563EB"/>
        </patternFill>
      </fill>
    </dxf>
    <dxf>
      <font>
        <b/>
        <sz val="9"/>
        <color rgb="FF166534"/>
        <name val="Segoe UI"/>
      </font>
      <fill>
        <patternFill patternType="solid">
          <fgColor rgb="FFDCFCE7"/>
          <bgColor rgb="FFDCFCE7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AD20-8F56-4761-8F79-6177A11C346B}">
  <dimension ref="A1:AA44"/>
  <sheetViews>
    <sheetView tabSelected="1" topLeftCell="A19" workbookViewId="0">
      <selection activeCell="Q17" sqref="Q17"/>
    </sheetView>
  </sheetViews>
  <sheetFormatPr defaultColWidth="8.875" defaultRowHeight="16.5"/>
  <cols>
    <col min="1" max="1" width="11" customWidth="1"/>
    <col min="2" max="2" width="15" customWidth="1"/>
    <col min="3" max="3" width="6.375" customWidth="1"/>
    <col min="4" max="21" width="5.375" customWidth="1"/>
    <col min="22" max="22" width="28.875" customWidth="1"/>
    <col min="23" max="23" width="13" customWidth="1"/>
    <col min="24" max="24" width="30.5" customWidth="1"/>
    <col min="25" max="25" width="9"/>
    <col min="26" max="26" width="18.875" customWidth="1"/>
  </cols>
  <sheetData>
    <row r="1" spans="1:27" ht="33.950000000000003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 t="s">
        <v>1</v>
      </c>
      <c r="M1" s="79"/>
      <c r="N1" s="81">
        <v>2026</v>
      </c>
      <c r="O1" s="137"/>
      <c r="P1" s="80" t="s">
        <v>2</v>
      </c>
      <c r="Q1" s="79"/>
      <c r="R1" s="81" t="s">
        <v>3</v>
      </c>
      <c r="S1" s="137"/>
      <c r="T1" s="82" t="str">
        <f>"PERIOD " &amp; TEXT($AA$1, "d mmm") &amp; " ~ " &amp; TEXT($AA$1+4, "d mmm")</f>
        <v>PERIOD 21 Sep ~ 25 Sep</v>
      </c>
      <c r="U1" s="138"/>
      <c r="V1" s="138"/>
      <c r="W1" s="138"/>
      <c r="X1" s="138"/>
      <c r="Z1" s="3" t="s">
        <v>4</v>
      </c>
      <c r="AA1">
        <f>DATE(N1, 1, 4) - WEEKDAY(DATE(N1, 1, 4), 2) + (VALUE(SUBSTITUTE(R1, "Week ", "")) - 1)*7 + 1</f>
        <v>46286</v>
      </c>
    </row>
    <row r="2" spans="1:27" ht="47.1" customHeight="1">
      <c r="A2" s="83" t="s">
        <v>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0"/>
    </row>
    <row r="3" spans="1:27" ht="17.100000000000001" hidden="1" customHeight="1">
      <c r="A3" s="4"/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X3" s="6"/>
    </row>
    <row r="4" spans="1:27" ht="17.100000000000001" hidden="1" customHeight="1">
      <c r="A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X4" s="6"/>
    </row>
    <row r="5" spans="1:27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6"/>
    </row>
    <row r="6" spans="1:27" s="10" customFormat="1" ht="29.1" customHeight="1">
      <c r="A6" s="87" t="str">
        <f>"MONDAY (" &amp; TEXT($AA$1, "d mmm") &amp; ")"</f>
        <v>MONDAY (21 Sep)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2"/>
    </row>
    <row r="7" spans="1:27">
      <c r="A7" s="94" t="s">
        <v>25</v>
      </c>
      <c r="B7" s="95" t="s">
        <v>26</v>
      </c>
      <c r="C7" s="96" t="s">
        <v>27</v>
      </c>
      <c r="D7" s="98" t="s">
        <v>28</v>
      </c>
      <c r="E7" s="143"/>
      <c r="F7" s="99" t="s">
        <v>29</v>
      </c>
      <c r="G7" s="143"/>
      <c r="H7" s="99" t="s">
        <v>30</v>
      </c>
      <c r="I7" s="143"/>
      <c r="J7" s="99" t="s">
        <v>31</v>
      </c>
      <c r="K7" s="143"/>
      <c r="L7" s="91" t="s">
        <v>32</v>
      </c>
      <c r="M7" s="92"/>
      <c r="N7" s="91" t="s">
        <v>33</v>
      </c>
      <c r="O7" s="92"/>
      <c r="P7" s="91" t="s">
        <v>34</v>
      </c>
      <c r="Q7" s="92"/>
      <c r="R7" s="91" t="s">
        <v>35</v>
      </c>
      <c r="S7" s="92"/>
      <c r="T7" s="91" t="s">
        <v>36</v>
      </c>
      <c r="U7" s="92"/>
      <c r="V7" s="93" t="s">
        <v>37</v>
      </c>
      <c r="W7" s="100" t="s">
        <v>38</v>
      </c>
      <c r="X7" s="102" t="s">
        <v>39</v>
      </c>
    </row>
    <row r="8" spans="1:27" ht="15.95" customHeight="1">
      <c r="A8" s="144"/>
      <c r="B8" s="145"/>
      <c r="C8" s="97"/>
      <c r="D8" s="32">
        <v>0</v>
      </c>
      <c r="E8" s="15">
        <v>30</v>
      </c>
      <c r="F8" s="16">
        <v>0</v>
      </c>
      <c r="G8" s="17">
        <v>30</v>
      </c>
      <c r="H8" s="16">
        <v>0</v>
      </c>
      <c r="I8" s="17">
        <v>30</v>
      </c>
      <c r="J8" s="16">
        <v>0</v>
      </c>
      <c r="K8" s="17">
        <v>30</v>
      </c>
      <c r="L8" s="16">
        <v>0</v>
      </c>
      <c r="M8" s="17">
        <v>30</v>
      </c>
      <c r="N8" s="16">
        <v>0</v>
      </c>
      <c r="O8" s="17">
        <v>30</v>
      </c>
      <c r="P8" s="14">
        <v>0</v>
      </c>
      <c r="Q8" s="15">
        <v>30</v>
      </c>
      <c r="R8" s="14">
        <v>0</v>
      </c>
      <c r="S8" s="15">
        <v>30</v>
      </c>
      <c r="T8" s="14">
        <v>0</v>
      </c>
      <c r="U8" s="15">
        <v>30</v>
      </c>
      <c r="V8" s="146"/>
      <c r="W8" s="101"/>
      <c r="X8" s="147"/>
    </row>
    <row r="9" spans="1:27" ht="20.100000000000001" customHeight="1">
      <c r="A9" s="88" t="s">
        <v>40</v>
      </c>
      <c r="B9" s="21" t="s">
        <v>41</v>
      </c>
      <c r="C9" s="34" t="b">
        <v>0</v>
      </c>
      <c r="D9" s="28"/>
      <c r="E9" s="23"/>
      <c r="F9" s="22" t="s">
        <v>42</v>
      </c>
      <c r="G9" s="23"/>
      <c r="H9" s="22"/>
      <c r="I9" s="23"/>
      <c r="J9" s="22"/>
      <c r="K9" s="23"/>
      <c r="L9" s="22"/>
      <c r="M9" s="23" t="s">
        <v>43</v>
      </c>
      <c r="N9" s="22"/>
      <c r="O9" s="23"/>
      <c r="P9" s="22"/>
      <c r="Q9" s="23"/>
      <c r="R9" s="22"/>
      <c r="S9" s="23"/>
      <c r="T9" s="22"/>
      <c r="U9" s="23"/>
      <c r="V9" s="38" t="str" cm="1">
        <f t="array" aca="1" ref="V9" ca="1">IF(C9=TRUE, "OFF", IF(COUNTIF(D9:U9,"In")=0, "-", IF(COUNTIF(D9:U9,"In")=1, INDEX($D$3:$U$3, MATCH("In",D9:U9,0)) &amp; " - " &amp; INDEX($D$4:$U$4, MATCH("Out",D9:U9,0)), INDEX($D$3:$U$3, MATCH("In",D9:U9,0)) &amp; " - " &amp; INDEX($D$4:$U$4, MATCH("Out",D9:U9,0)) &amp; ", " &amp; INDEX($D$3:$U$3, MATCH("Out",D9:U9,0) + MATCH("In", OFFSET(D9,0,MATCH("Out",D9:U9,0),1,18-MATCH("Out",D9:U9,0)),0)) &amp; " - " &amp; INDEX($D$4:$U$4, MATCH("Out",D9:U9,0) + MATCH("In", OFFSET(D9,0,MATCH("Out",D9:U9,0),1,18-MATCH("Out",D9:U9,0)),0) + MATCH("Out", OFFSET(D9,0,MATCH("Out",D9:U9,0)+MATCH("In", OFFSET(D9,0,MATCH("Out",D9:U9,0),1,18-MATCH("Out",D9:U9,0)),0),1,18-(MATCH("Out",D9:U9,0)+MATCH("In", OFFSET(D9,0,MATCH("Out",D9:U9,0),1,18-MATCH("Out",D9:U9,0)),0))),0)))))</f>
        <v>9:00 AM - 1:00 PM</v>
      </c>
      <c r="W9" s="1" t="s">
        <v>44</v>
      </c>
      <c r="X9" s="7"/>
    </row>
    <row r="10" spans="1:27" ht="20.100000000000001" customHeight="1">
      <c r="A10" s="148"/>
      <c r="B10" s="24" t="s">
        <v>45</v>
      </c>
      <c r="C10" s="35" t="b">
        <v>0</v>
      </c>
      <c r="D10" s="22" t="s">
        <v>42</v>
      </c>
      <c r="E10" s="23"/>
      <c r="F10" s="22"/>
      <c r="G10" s="23"/>
      <c r="H10" s="22"/>
      <c r="I10" s="23"/>
      <c r="J10" s="22"/>
      <c r="K10" s="23" t="s">
        <v>43</v>
      </c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39" t="str" cm="1">
        <f t="array" aca="1" ref="V10" ca="1">IF(C10=TRUE, "OFF", IF(COUNTIF(D10:U10,"In")=0, "-", IF(COUNTIF(D10:U10,"In")=1, INDEX($D$3:$U$3, MATCH("In",D10:U10,0)) &amp; " - " &amp; INDEX($D$4:$U$4, MATCH("Out",D10:U10,0)), INDEX($D$3:$U$3, MATCH("In",D10:U10,0)) &amp; " - " &amp; INDEX($D$4:$U$4, MATCH("Out",D10:U10,0)) &amp; ", " &amp; INDEX($D$3:$U$3, MATCH("Out",D10:U10,0) + MATCH("In", OFFSET(D10,0,MATCH("Out",D10:U10,0),1,18-MATCH("Out",D10:U10,0)),0)) &amp; " - " &amp; INDEX($D$4:$U$4, MATCH("Out",D10:U10,0) + MATCH("In", OFFSET(D10,0,MATCH("Out",D10:U10,0),1,18-MATCH("Out",D10:U10,0)),0) + MATCH("Out", OFFSET(D10,0,MATCH("Out",D10:U10,0)+MATCH("In", OFFSET(D10,0,MATCH("Out",D10:U10,0),1,18-MATCH("Out",D10:U10,0)),0),1,18-(MATCH("Out",D10:U10,0)+MATCH("In", OFFSET(D10,0,MATCH("Out",D10:U10,0),1,18-MATCH("Out",D10:U10,0)),0))),0)))))</f>
        <v>8:00 AM - 12:00 PM</v>
      </c>
      <c r="W10" s="1" t="s">
        <v>44</v>
      </c>
      <c r="X10" s="7"/>
    </row>
    <row r="11" spans="1:27" ht="20.100000000000001" customHeight="1">
      <c r="A11" s="89" t="s">
        <v>46</v>
      </c>
      <c r="B11" s="18" t="s">
        <v>47</v>
      </c>
      <c r="C11" s="36" t="b">
        <v>0</v>
      </c>
      <c r="D11" s="30"/>
      <c r="E11" s="20"/>
      <c r="F11" s="19" t="s">
        <v>42</v>
      </c>
      <c r="G11" s="20"/>
      <c r="H11" s="19"/>
      <c r="I11" s="20"/>
      <c r="J11" s="19"/>
      <c r="K11" s="20"/>
      <c r="L11" s="19"/>
      <c r="M11" s="20" t="s">
        <v>43</v>
      </c>
      <c r="N11" s="19"/>
      <c r="O11" s="20"/>
      <c r="P11" s="19"/>
      <c r="Q11" s="20"/>
      <c r="R11" s="19"/>
      <c r="S11" s="20"/>
      <c r="T11" s="19"/>
      <c r="U11" s="20"/>
      <c r="V11" s="39" t="str" cm="1">
        <f t="array" aca="1" ref="V11" ca="1">IF(C11=TRUE, "OFF", IF(COUNTIF(D11:U11,"In")=0, "-", IF(COUNTIF(D11:U11,"In")=1, INDEX($D$3:$U$3, MATCH("In",D11:U11,0)) &amp; " - " &amp; INDEX($D$4:$U$4, MATCH("Out",D11:U11,0)), INDEX($D$3:$U$3, MATCH("In",D11:U11,0)) &amp; " - " &amp; INDEX($D$4:$U$4, MATCH("Out",D11:U11,0)) &amp; ", " &amp; INDEX($D$3:$U$3, MATCH("Out",D11:U11,0) + MATCH("In", OFFSET(D11,0,MATCH("Out",D11:U11,0),1,18-MATCH("Out",D11:U11,0)),0)) &amp; " - " &amp; INDEX($D$4:$U$4, MATCH("Out",D11:U11,0) + MATCH("In", OFFSET(D11,0,MATCH("Out",D11:U11,0),1,18-MATCH("Out",D11:U11,0)),0) + MATCH("Out", OFFSET(D11,0,MATCH("Out",D11:U11,0)+MATCH("In", OFFSET(D11,0,MATCH("Out",D11:U11,0),1,18-MATCH("Out",D11:U11,0)),0),1,18-(MATCH("Out",D11:U11,0)+MATCH("In", OFFSET(D11,0,MATCH("Out",D11:U11,0),1,18-MATCH("Out",D11:U11,0)),0))),0)))))</f>
        <v>9:00 AM - 1:00 PM</v>
      </c>
      <c r="W11" s="1" t="s">
        <v>44</v>
      </c>
      <c r="X11" s="7"/>
    </row>
    <row r="12" spans="1:27" ht="20.100000000000001" customHeight="1">
      <c r="A12" s="149"/>
      <c r="B12" s="13" t="s">
        <v>48</v>
      </c>
      <c r="C12" s="37" t="b">
        <v>0</v>
      </c>
      <c r="D12" s="31"/>
      <c r="E12" s="27"/>
      <c r="F12" s="19" t="s">
        <v>42</v>
      </c>
      <c r="G12" s="20"/>
      <c r="H12" s="19"/>
      <c r="I12" s="20"/>
      <c r="J12" s="19"/>
      <c r="K12" s="20"/>
      <c r="L12" s="19"/>
      <c r="M12" s="20" t="s">
        <v>43</v>
      </c>
      <c r="N12" s="26"/>
      <c r="O12" s="27"/>
      <c r="P12" s="26"/>
      <c r="Q12" s="27"/>
      <c r="R12" s="26"/>
      <c r="S12" s="27"/>
      <c r="T12" s="26"/>
      <c r="U12" s="27"/>
      <c r="V12" s="33" t="str" cm="1">
        <f t="array" aca="1" ref="V12" ca="1">IF(C12=TRUE, "OFF", IF(COUNTIF(D12:U12,"In")=0, "-", IF(COUNTIF(D12:U12,"In")=1, INDEX($D$3:$U$3, MATCH("In",D12:U12,0)) &amp; " - " &amp; INDEX($D$4:$U$4, MATCH("Out",D12:U12,0)), INDEX($D$3:$U$3, MATCH("In",D12:U12,0)) &amp; " - " &amp; INDEX($D$4:$U$4, MATCH("Out",D12:U12,0)) &amp; ", " &amp; INDEX($D$3:$U$3, MATCH("Out",D12:U12,0) + MATCH("In", OFFSET(D12,0,MATCH("Out",D12:U12,0),1,18-MATCH("Out",D12:U12,0)),0)) &amp; " - " &amp; INDEX($D$4:$U$4, MATCH("Out",D12:U12,0) + MATCH("In", OFFSET(D12,0,MATCH("Out",D12:U12,0),1,18-MATCH("Out",D12:U12,0)),0) + MATCH("Out", OFFSET(D12,0,MATCH("Out",D12:U12,0)+MATCH("In", OFFSET(D12,0,MATCH("Out",D12:U12,0),1,18-MATCH("Out",D12:U12,0)),0),1,18-(MATCH("Out",D12:U12,0)+MATCH("In", OFFSET(D12,0,MATCH("Out",D12:U12,0),1,18-MATCH("Out",D12:U12,0)),0))),0)))))</f>
        <v>9:00 AM - 1:00 PM</v>
      </c>
      <c r="W12" s="8" t="s">
        <v>44</v>
      </c>
      <c r="X12" s="9"/>
    </row>
    <row r="13" spans="1:27" ht="20.100000000000001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6"/>
    </row>
    <row r="14" spans="1:27" s="10" customFormat="1" ht="29.1" customHeight="1">
      <c r="A14" s="90" t="str">
        <f>"TUESDAY (" &amp; TEXT($AA$1+1, "d mmm") &amp; ")"</f>
        <v>TUESDAY (22 Sep)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1"/>
    </row>
    <row r="15" spans="1:27" ht="18" customHeight="1">
      <c r="A15" s="94" t="s">
        <v>25</v>
      </c>
      <c r="B15" s="95" t="s">
        <v>26</v>
      </c>
      <c r="C15" s="96" t="s">
        <v>27</v>
      </c>
      <c r="D15" s="98" t="s">
        <v>28</v>
      </c>
      <c r="E15" s="143"/>
      <c r="F15" s="99" t="s">
        <v>29</v>
      </c>
      <c r="G15" s="143"/>
      <c r="H15" s="99" t="s">
        <v>30</v>
      </c>
      <c r="I15" s="143"/>
      <c r="J15" s="99" t="s">
        <v>31</v>
      </c>
      <c r="K15" s="143"/>
      <c r="L15" s="91" t="s">
        <v>32</v>
      </c>
      <c r="M15" s="92"/>
      <c r="N15" s="91" t="s">
        <v>33</v>
      </c>
      <c r="O15" s="92"/>
      <c r="P15" s="91" t="s">
        <v>34</v>
      </c>
      <c r="Q15" s="92"/>
      <c r="R15" s="91" t="s">
        <v>35</v>
      </c>
      <c r="S15" s="92"/>
      <c r="T15" s="91" t="s">
        <v>36</v>
      </c>
      <c r="U15" s="92"/>
      <c r="V15" s="103" t="s">
        <v>37</v>
      </c>
      <c r="W15" s="104" t="s">
        <v>38</v>
      </c>
      <c r="X15" s="105" t="s">
        <v>39</v>
      </c>
    </row>
    <row r="16" spans="1:27" ht="15.95" customHeight="1">
      <c r="A16" s="144"/>
      <c r="B16" s="145"/>
      <c r="C16" s="97"/>
      <c r="D16" s="32">
        <v>0</v>
      </c>
      <c r="E16" s="15">
        <v>30</v>
      </c>
      <c r="F16" s="16">
        <v>0</v>
      </c>
      <c r="G16" s="17">
        <v>30</v>
      </c>
      <c r="H16" s="16">
        <v>0</v>
      </c>
      <c r="I16" s="17">
        <v>30</v>
      </c>
      <c r="J16" s="16">
        <v>0</v>
      </c>
      <c r="K16" s="17">
        <v>30</v>
      </c>
      <c r="L16" s="16">
        <v>0</v>
      </c>
      <c r="M16" s="17">
        <v>30</v>
      </c>
      <c r="N16" s="16">
        <v>0</v>
      </c>
      <c r="O16" s="17">
        <v>30</v>
      </c>
      <c r="P16" s="14">
        <v>0</v>
      </c>
      <c r="Q16" s="15">
        <v>30</v>
      </c>
      <c r="R16" s="14">
        <v>0</v>
      </c>
      <c r="S16" s="15">
        <v>30</v>
      </c>
      <c r="T16" s="14">
        <v>0</v>
      </c>
      <c r="U16" s="15">
        <v>30</v>
      </c>
      <c r="V16" s="146"/>
      <c r="W16" s="101"/>
      <c r="X16" s="147"/>
    </row>
    <row r="17" spans="1:24" ht="20.100000000000001" customHeight="1">
      <c r="A17" s="88" t="s">
        <v>40</v>
      </c>
      <c r="B17" s="21" t="s">
        <v>41</v>
      </c>
      <c r="C17" s="34" t="b">
        <v>0</v>
      </c>
      <c r="D17" s="28"/>
      <c r="E17" s="23"/>
      <c r="F17" s="22" t="s">
        <v>42</v>
      </c>
      <c r="G17" s="23"/>
      <c r="H17" s="22"/>
      <c r="I17" s="23"/>
      <c r="J17" s="22" t="s">
        <v>43</v>
      </c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38" t="str" cm="1">
        <f t="array" aca="1" ref="V17" ca="1">IF(C17=TRUE, "OFF", IF(COUNTIF(D17:U17,"In")=0, "-", IF(COUNTIF(D17:U17,"In")=1, INDEX($D$3:$U$3, MATCH("In",D17:U17,0)) &amp; " - " &amp; INDEX($D$4:$U$4, MATCH("Out",D17:U17,0)), INDEX($D$3:$U$3, MATCH("In",D17:U17,0)) &amp; " - " &amp; INDEX($D$4:$U$4, MATCH("Out",D17:U17,0)) &amp; ", " &amp; INDEX($D$3:$U$3, MATCH("Out",D17:U17,0) + MATCH("In", OFFSET(D17,0,MATCH("Out",D17:U17,0),1,18-MATCH("Out",D17:U17,0)),0)) &amp; " - " &amp; INDEX($D$4:$U$4, MATCH("Out",D17:U17,0) + MATCH("In", OFFSET(D17,0,MATCH("Out",D17:U17,0),1,18-MATCH("Out",D17:U17,0)),0) + MATCH("Out", OFFSET(D17,0,MATCH("Out",D17:U17,0)+MATCH("In", OFFSET(D17,0,MATCH("Out",D17:U17,0),1,18-MATCH("Out",D17:U17,0)),0),1,18-(MATCH("Out",D17:U17,0)+MATCH("In", OFFSET(D17,0,MATCH("Out",D17:U17,0),1,18-MATCH("Out",D17:U17,0)),0))),0)))))</f>
        <v>9:00 AM - 11:30 AM</v>
      </c>
      <c r="W17" s="1" t="s">
        <v>44</v>
      </c>
      <c r="X17" s="7"/>
    </row>
    <row r="18" spans="1:24" ht="20.100000000000001" customHeight="1">
      <c r="A18" s="148"/>
      <c r="B18" s="24" t="s">
        <v>45</v>
      </c>
      <c r="C18" s="35" t="b">
        <v>1</v>
      </c>
      <c r="D18" s="22" t="s">
        <v>42</v>
      </c>
      <c r="E18" s="23"/>
      <c r="F18" s="22"/>
      <c r="G18" s="23"/>
      <c r="H18" s="22"/>
      <c r="I18" s="23"/>
      <c r="J18" s="22"/>
      <c r="K18" s="23" t="s">
        <v>43</v>
      </c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39" t="str" cm="1">
        <f t="array" aca="1" ref="V18" ca="1">IF(C18=TRUE, "OFF", IF(COUNTIF(D18:U18,"In")=0, "-", IF(COUNTIF(D18:U18,"In")=1, INDEX($D$3:$U$3, MATCH("In",D18:U18,0)) &amp; " - " &amp; INDEX($D$4:$U$4, MATCH("Out",D18:U18,0)), INDEX($D$3:$U$3, MATCH("In",D18:U18,0)) &amp; " - " &amp; INDEX($D$4:$U$4, MATCH("Out",D18:U18,0)) &amp; ", " &amp; INDEX($D$3:$U$3, MATCH("Out",D18:U18,0) + MATCH("In", OFFSET(D18,0,MATCH("Out",D18:U18,0),1,18-MATCH("Out",D18:U18,0)),0)) &amp; " - " &amp; INDEX($D$4:$U$4, MATCH("Out",D18:U18,0) + MATCH("In", OFFSET(D18,0,MATCH("Out",D18:U18,0),1,18-MATCH("Out",D18:U18,0)),0) + MATCH("Out", OFFSET(D18,0,MATCH("Out",D18:U18,0)+MATCH("In", OFFSET(D18,0,MATCH("Out",D18:U18,0),1,18-MATCH("Out",D18:U18,0)),0),1,18-(MATCH("Out",D18:U18,0)+MATCH("In", OFFSET(D18,0,MATCH("Out",D18:U18,0),1,18-MATCH("Out",D18:U18,0)),0))),0)))))</f>
        <v>OFF</v>
      </c>
      <c r="W18" s="1" t="s">
        <v>44</v>
      </c>
      <c r="X18" s="7"/>
    </row>
    <row r="19" spans="1:24" ht="20.100000000000001" customHeight="1">
      <c r="A19" s="89" t="s">
        <v>46</v>
      </c>
      <c r="B19" s="18" t="s">
        <v>47</v>
      </c>
      <c r="C19" s="36" t="b">
        <v>0</v>
      </c>
      <c r="D19" s="30"/>
      <c r="E19" s="20"/>
      <c r="F19" s="19" t="s">
        <v>42</v>
      </c>
      <c r="G19" s="20"/>
      <c r="H19" s="19"/>
      <c r="I19" s="20"/>
      <c r="J19" s="19"/>
      <c r="K19" s="20"/>
      <c r="L19" s="19"/>
      <c r="M19" s="20" t="s">
        <v>43</v>
      </c>
      <c r="N19" s="19"/>
      <c r="O19" s="20"/>
      <c r="P19" s="19"/>
      <c r="Q19" s="20"/>
      <c r="R19" s="19"/>
      <c r="S19" s="20"/>
      <c r="T19" s="19"/>
      <c r="U19" s="20"/>
      <c r="V19" s="39" t="str" cm="1">
        <f t="array" aca="1" ref="V19" ca="1">IF(C19=TRUE, "OFF", IF(COUNTIF(D19:U19,"In")=0, "-", IF(COUNTIF(D19:U19,"In")=1, INDEX($D$3:$U$3, MATCH("In",D19:U19,0)) &amp; " - " &amp; INDEX($D$4:$U$4, MATCH("Out",D19:U19,0)), INDEX($D$3:$U$3, MATCH("In",D19:U19,0)) &amp; " - " &amp; INDEX($D$4:$U$4, MATCH("Out",D19:U19,0)) &amp; ", " &amp; INDEX($D$3:$U$3, MATCH("Out",D19:U19,0) + MATCH("In", OFFSET(D19,0,MATCH("Out",D19:U19,0),1,18-MATCH("Out",D19:U19,0)),0)) &amp; " - " &amp; INDEX($D$4:$U$4, MATCH("Out",D19:U19,0) + MATCH("In", OFFSET(D19,0,MATCH("Out",D19:U19,0),1,18-MATCH("Out",D19:U19,0)),0) + MATCH("Out", OFFSET(D19,0,MATCH("Out",D19:U19,0)+MATCH("In", OFFSET(D19,0,MATCH("Out",D19:U19,0),1,18-MATCH("Out",D19:U19,0)),0),1,18-(MATCH("Out",D19:U19,0)+MATCH("In", OFFSET(D19,0,MATCH("Out",D19:U19,0),1,18-MATCH("Out",D19:U19,0)),0))),0)))))</f>
        <v>9:00 AM - 1:00 PM</v>
      </c>
      <c r="W19" s="1" t="s">
        <v>44</v>
      </c>
      <c r="X19" s="7"/>
    </row>
    <row r="20" spans="1:24" ht="20.100000000000001" customHeight="1">
      <c r="A20" s="149"/>
      <c r="B20" s="13" t="s">
        <v>48</v>
      </c>
      <c r="C20" s="37" t="b">
        <v>0</v>
      </c>
      <c r="D20" s="31"/>
      <c r="E20" s="27"/>
      <c r="F20" s="19" t="s">
        <v>42</v>
      </c>
      <c r="G20" s="20"/>
      <c r="H20" s="19"/>
      <c r="I20" s="20"/>
      <c r="J20" s="19"/>
      <c r="K20" s="20"/>
      <c r="L20" s="19"/>
      <c r="M20" s="20" t="s">
        <v>43</v>
      </c>
      <c r="N20" s="26"/>
      <c r="O20" s="27"/>
      <c r="P20" s="26"/>
      <c r="Q20" s="27"/>
      <c r="R20" s="26"/>
      <c r="S20" s="27"/>
      <c r="T20" s="26"/>
      <c r="U20" s="27"/>
      <c r="V20" s="33" t="str" cm="1">
        <f t="array" aca="1" ref="V20" ca="1">IF(C20=TRUE, "OFF", IF(COUNTIF(D20:U20,"In")=0, "-", IF(COUNTIF(D20:U20,"In")=1, INDEX($D$3:$U$3, MATCH("In",D20:U20,0)) &amp; " - " &amp; INDEX($D$4:$U$4, MATCH("Out",D20:U20,0)), INDEX($D$3:$U$3, MATCH("In",D20:U20,0)) &amp; " - " &amp; INDEX($D$4:$U$4, MATCH("Out",D20:U20,0)) &amp; ", " &amp; INDEX($D$3:$U$3, MATCH("Out",D20:U20,0) + MATCH("In", OFFSET(D20,0,MATCH("Out",D20:U20,0),1,18-MATCH("Out",D20:U20,0)),0)) &amp; " - " &amp; INDEX($D$4:$U$4, MATCH("Out",D20:U20,0) + MATCH("In", OFFSET(D20,0,MATCH("Out",D20:U20,0),1,18-MATCH("Out",D20:U20,0)),0) + MATCH("Out", OFFSET(D20,0,MATCH("Out",D20:U20,0)+MATCH("In", OFFSET(D20,0,MATCH("Out",D20:U20,0),1,18-MATCH("Out",D20:U20,0)),0),1,18-(MATCH("Out",D20:U20,0)+MATCH("In", OFFSET(D20,0,MATCH("Out",D20:U20,0),1,18-MATCH("Out",D20:U20,0)),0))),0)))))</f>
        <v>9:00 AM - 1:00 PM</v>
      </c>
      <c r="W20" s="8" t="s">
        <v>44</v>
      </c>
      <c r="X20" s="9"/>
    </row>
    <row r="21" spans="1:24" ht="20.100000000000001" customHeight="1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6"/>
    </row>
    <row r="22" spans="1:24" s="10" customFormat="1" ht="29.1" customHeight="1">
      <c r="A22" s="90" t="str">
        <f>"WEDNESDAY (" &amp; TEXT($AA$1+2, "d mmm") &amp; ")"</f>
        <v>WEDNESDAY (23 Sep)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1"/>
    </row>
    <row r="23" spans="1:24" ht="18" customHeight="1">
      <c r="A23" s="94" t="s">
        <v>25</v>
      </c>
      <c r="B23" s="95" t="s">
        <v>26</v>
      </c>
      <c r="C23" s="96" t="s">
        <v>27</v>
      </c>
      <c r="D23" s="98" t="s">
        <v>28</v>
      </c>
      <c r="E23" s="143"/>
      <c r="F23" s="99" t="s">
        <v>29</v>
      </c>
      <c r="G23" s="143"/>
      <c r="H23" s="99" t="s">
        <v>30</v>
      </c>
      <c r="I23" s="143"/>
      <c r="J23" s="99" t="s">
        <v>31</v>
      </c>
      <c r="K23" s="143"/>
      <c r="L23" s="91" t="s">
        <v>32</v>
      </c>
      <c r="M23" s="92"/>
      <c r="N23" s="91" t="s">
        <v>33</v>
      </c>
      <c r="O23" s="92"/>
      <c r="P23" s="91" t="s">
        <v>34</v>
      </c>
      <c r="Q23" s="92"/>
      <c r="R23" s="91" t="s">
        <v>35</v>
      </c>
      <c r="S23" s="92"/>
      <c r="T23" s="91" t="s">
        <v>36</v>
      </c>
      <c r="U23" s="92"/>
      <c r="V23" s="103" t="s">
        <v>37</v>
      </c>
      <c r="W23" s="104" t="s">
        <v>38</v>
      </c>
      <c r="X23" s="105" t="s">
        <v>39</v>
      </c>
    </row>
    <row r="24" spans="1:24" ht="15.95" customHeight="1">
      <c r="A24" s="144"/>
      <c r="B24" s="145"/>
      <c r="C24" s="97"/>
      <c r="D24" s="32">
        <v>0</v>
      </c>
      <c r="E24" s="15">
        <v>30</v>
      </c>
      <c r="F24" s="16">
        <v>0</v>
      </c>
      <c r="G24" s="17">
        <v>30</v>
      </c>
      <c r="H24" s="16">
        <v>0</v>
      </c>
      <c r="I24" s="17">
        <v>30</v>
      </c>
      <c r="J24" s="16">
        <v>0</v>
      </c>
      <c r="K24" s="17">
        <v>30</v>
      </c>
      <c r="L24" s="16">
        <v>0</v>
      </c>
      <c r="M24" s="17">
        <v>30</v>
      </c>
      <c r="N24" s="16">
        <v>0</v>
      </c>
      <c r="O24" s="17">
        <v>30</v>
      </c>
      <c r="P24" s="14">
        <v>0</v>
      </c>
      <c r="Q24" s="15">
        <v>30</v>
      </c>
      <c r="R24" s="14">
        <v>0</v>
      </c>
      <c r="S24" s="15">
        <v>30</v>
      </c>
      <c r="T24" s="14">
        <v>0</v>
      </c>
      <c r="U24" s="15">
        <v>30</v>
      </c>
      <c r="V24" s="146"/>
      <c r="W24" s="101"/>
      <c r="X24" s="147"/>
    </row>
    <row r="25" spans="1:24" ht="20.100000000000001" customHeight="1">
      <c r="A25" s="88" t="s">
        <v>40</v>
      </c>
      <c r="B25" s="21" t="s">
        <v>41</v>
      </c>
      <c r="C25" s="34" t="b">
        <v>0</v>
      </c>
      <c r="D25" s="28"/>
      <c r="E25" s="23"/>
      <c r="F25" s="22"/>
      <c r="G25" s="23"/>
      <c r="H25" s="22"/>
      <c r="I25" s="23"/>
      <c r="J25" s="22"/>
      <c r="K25" s="23"/>
      <c r="L25" s="22"/>
      <c r="M25" s="23"/>
      <c r="N25" s="22"/>
      <c r="O25" s="23"/>
      <c r="P25" s="22"/>
      <c r="Q25" s="23"/>
      <c r="R25" s="22"/>
      <c r="S25" s="23"/>
      <c r="T25" s="22"/>
      <c r="U25" s="23"/>
      <c r="V25" s="38" t="str" cm="1">
        <f t="array" aca="1" ref="V25" ca="1">IF(C25=TRUE, "OFF", IF(COUNTIF(D25:U25,"In")=0, "-", IF(COUNTIF(D25:U25,"In")=1, INDEX($D$3:$U$3, MATCH("In",D25:U25,0)) &amp; " - " &amp; INDEX($D$4:$U$4, MATCH("Out",D25:U25,0)), INDEX($D$3:$U$3, MATCH("In",D25:U25,0)) &amp; " - " &amp; INDEX($D$4:$U$4, MATCH("Out",D25:U25,0)) &amp; ", " &amp; INDEX($D$3:$U$3, MATCH("Out",D25:U25,0) + MATCH("In", OFFSET(D25,0,MATCH("Out",D25:U25,0),1,18-MATCH("Out",D25:U25,0)),0)) &amp; " - " &amp; INDEX($D$4:$U$4, MATCH("Out",D25:U25,0) + MATCH("In", OFFSET(D25,0,MATCH("Out",D25:U25,0),1,18-MATCH("Out",D25:U25,0)),0) + MATCH("Out", OFFSET(D25,0,MATCH("Out",D25:U25,0)+MATCH("In", OFFSET(D25,0,MATCH("Out",D25:U25,0),1,18-MATCH("Out",D25:U25,0)),0),1,18-(MATCH("Out",D25:U25,0)+MATCH("In", OFFSET(D25,0,MATCH("Out",D25:U25,0),1,18-MATCH("Out",D25:U25,0)),0))),0)))))</f>
        <v>-</v>
      </c>
      <c r="W25" s="1" t="s">
        <v>44</v>
      </c>
      <c r="X25" s="7"/>
    </row>
    <row r="26" spans="1:24" ht="20.100000000000001" customHeight="1">
      <c r="A26" s="148"/>
      <c r="B26" s="24" t="s">
        <v>45</v>
      </c>
      <c r="C26" s="35" t="b">
        <v>0</v>
      </c>
      <c r="D26" s="22" t="s">
        <v>42</v>
      </c>
      <c r="E26" s="23"/>
      <c r="F26" s="22"/>
      <c r="G26" s="23"/>
      <c r="H26" s="22"/>
      <c r="I26" s="23"/>
      <c r="J26" s="22"/>
      <c r="K26" s="23" t="s">
        <v>43</v>
      </c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39" t="str" cm="1">
        <f t="array" aca="1" ref="V26" ca="1">IF(C26=TRUE, "OFF", IF(COUNTIF(D26:U26,"In")=0, "-", IF(COUNTIF(D26:U26,"In")=1, INDEX($D$3:$U$3, MATCH("In",D26:U26,0)) &amp; " - " &amp; INDEX($D$4:$U$4, MATCH("Out",D26:U26,0)), INDEX($D$3:$U$3, MATCH("In",D26:U26,0)) &amp; " - " &amp; INDEX($D$4:$U$4, MATCH("Out",D26:U26,0)) &amp; ", " &amp; INDEX($D$3:$U$3, MATCH("Out",D26:U26,0) + MATCH("In", OFFSET(D26,0,MATCH("Out",D26:U26,0),1,18-MATCH("Out",D26:U26,0)),0)) &amp; " - " &amp; INDEX($D$4:$U$4, MATCH("Out",D26:U26,0) + MATCH("In", OFFSET(D26,0,MATCH("Out",D26:U26,0),1,18-MATCH("Out",D26:U26,0)),0) + MATCH("Out", OFFSET(D26,0,MATCH("Out",D26:U26,0)+MATCH("In", OFFSET(D26,0,MATCH("Out",D26:U26,0),1,18-MATCH("Out",D26:U26,0)),0),1,18-(MATCH("Out",D26:U26,0)+MATCH("In", OFFSET(D26,0,MATCH("Out",D26:U26,0),1,18-MATCH("Out",D26:U26,0)),0))),0)))))</f>
        <v>8:00 AM - 12:00 PM</v>
      </c>
      <c r="W26" s="1" t="s">
        <v>44</v>
      </c>
      <c r="X26" s="7"/>
    </row>
    <row r="27" spans="1:24">
      <c r="A27" s="89" t="s">
        <v>46</v>
      </c>
      <c r="B27" s="18" t="s">
        <v>47</v>
      </c>
      <c r="C27" s="36" t="b">
        <v>0</v>
      </c>
      <c r="D27" s="30"/>
      <c r="E27" s="20"/>
      <c r="F27" s="19" t="s">
        <v>42</v>
      </c>
      <c r="G27" s="20"/>
      <c r="H27" s="19"/>
      <c r="I27" s="20"/>
      <c r="J27" s="19"/>
      <c r="K27" s="20"/>
      <c r="L27" s="19"/>
      <c r="M27" s="20" t="s">
        <v>43</v>
      </c>
      <c r="N27" s="19"/>
      <c r="O27" s="20"/>
      <c r="P27" s="19"/>
      <c r="Q27" s="20"/>
      <c r="R27" s="19"/>
      <c r="S27" s="20"/>
      <c r="T27" s="19"/>
      <c r="U27" s="20"/>
      <c r="V27" s="39" t="str" cm="1">
        <f t="array" aca="1" ref="V27" ca="1">IF(C27=TRUE, "OFF", IF(COUNTIF(D27:U27,"In")=0, "-", IF(COUNTIF(D27:U27,"In")=1, INDEX($D$3:$U$3, MATCH("In",D27:U27,0)) &amp; " - " &amp; INDEX($D$4:$U$4, MATCH("Out",D27:U27,0)), INDEX($D$3:$U$3, MATCH("In",D27:U27,0)) &amp; " - " &amp; INDEX($D$4:$U$4, MATCH("Out",D27:U27,0)) &amp; ", " &amp; INDEX($D$3:$U$3, MATCH("Out",D27:U27,0) + MATCH("In", OFFSET(D27,0,MATCH("Out",D27:U27,0),1,18-MATCH("Out",D27:U27,0)),0)) &amp; " - " &amp; INDEX($D$4:$U$4, MATCH("Out",D27:U27,0) + MATCH("In", OFFSET(D27,0,MATCH("Out",D27:U27,0),1,18-MATCH("Out",D27:U27,0)),0) + MATCH("Out", OFFSET(D27,0,MATCH("Out",D27:U27,0)+MATCH("In", OFFSET(D27,0,MATCH("Out",D27:U27,0),1,18-MATCH("Out",D27:U27,0)),0),1,18-(MATCH("Out",D27:U27,0)+MATCH("In", OFFSET(D27,0,MATCH("Out",D27:U27,0),1,18-MATCH("Out",D27:U27,0)),0))),0)))))</f>
        <v>9:00 AM - 1:00 PM</v>
      </c>
      <c r="W27" s="1" t="s">
        <v>44</v>
      </c>
      <c r="X27" s="7"/>
    </row>
    <row r="28" spans="1:24">
      <c r="A28" s="149"/>
      <c r="B28" s="13" t="s">
        <v>48</v>
      </c>
      <c r="C28" s="37" t="b">
        <v>0</v>
      </c>
      <c r="D28" s="31"/>
      <c r="E28" s="27"/>
      <c r="F28" s="19" t="s">
        <v>42</v>
      </c>
      <c r="G28" s="20"/>
      <c r="H28" s="19"/>
      <c r="I28" s="20"/>
      <c r="J28" s="19"/>
      <c r="K28" s="20"/>
      <c r="L28" s="19"/>
      <c r="M28" s="20" t="s">
        <v>43</v>
      </c>
      <c r="N28" s="26"/>
      <c r="O28" s="27"/>
      <c r="P28" s="26"/>
      <c r="Q28" s="27"/>
      <c r="R28" s="26"/>
      <c r="S28" s="27"/>
      <c r="T28" s="26"/>
      <c r="U28" s="27"/>
      <c r="V28" s="33" t="str" cm="1">
        <f t="array" aca="1" ref="V28" ca="1">IF(C28=TRUE, "OFF", IF(COUNTIF(D28:U28,"In")=0, "-", IF(COUNTIF(D28:U28,"In")=1, INDEX($D$3:$U$3, MATCH("In",D28:U28,0)) &amp; " - " &amp; INDEX($D$4:$U$4, MATCH("Out",D28:U28,0)), INDEX($D$3:$U$3, MATCH("In",D28:U28,0)) &amp; " - " &amp; INDEX($D$4:$U$4, MATCH("Out",D28:U28,0)) &amp; ", " &amp; INDEX($D$3:$U$3, MATCH("Out",D28:U28,0) + MATCH("In", OFFSET(D28,0,MATCH("Out",D28:U28,0),1,18-MATCH("Out",D28:U28,0)),0)) &amp; " - " &amp; INDEX($D$4:$U$4, MATCH("Out",D28:U28,0) + MATCH("In", OFFSET(D28,0,MATCH("Out",D28:U28,0),1,18-MATCH("Out",D28:U28,0)),0) + MATCH("Out", OFFSET(D28,0,MATCH("Out",D28:U28,0)+MATCH("In", OFFSET(D28,0,MATCH("Out",D28:U28,0),1,18-MATCH("Out",D28:U28,0)),0),1,18-(MATCH("Out",D28:U28,0)+MATCH("In", OFFSET(D28,0,MATCH("Out",D28:U28,0),1,18-MATCH("Out",D28:U28,0)),0))),0)))))</f>
        <v>9:00 AM - 1:00 PM</v>
      </c>
      <c r="W28" s="8" t="s">
        <v>44</v>
      </c>
      <c r="X28" s="9"/>
    </row>
    <row r="29" spans="1:24" ht="20.100000000000001" customHeight="1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6"/>
    </row>
    <row r="30" spans="1:24" s="10" customFormat="1" ht="29.1" customHeight="1">
      <c r="A30" s="90" t="str">
        <f>"THURSDAY (" &amp; TEXT($AA$1+3, "d mmm") &amp; ")"</f>
        <v>THURSDAY (24 Sep)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1"/>
    </row>
    <row r="31" spans="1:24" ht="18" customHeight="1">
      <c r="A31" s="94" t="s">
        <v>25</v>
      </c>
      <c r="B31" s="95" t="s">
        <v>26</v>
      </c>
      <c r="C31" s="96" t="s">
        <v>27</v>
      </c>
      <c r="D31" s="98" t="s">
        <v>28</v>
      </c>
      <c r="E31" s="143"/>
      <c r="F31" s="99" t="s">
        <v>29</v>
      </c>
      <c r="G31" s="143"/>
      <c r="H31" s="99" t="s">
        <v>30</v>
      </c>
      <c r="I31" s="143"/>
      <c r="J31" s="99" t="s">
        <v>31</v>
      </c>
      <c r="K31" s="143"/>
      <c r="L31" s="91" t="s">
        <v>32</v>
      </c>
      <c r="M31" s="92"/>
      <c r="N31" s="91" t="s">
        <v>33</v>
      </c>
      <c r="O31" s="92"/>
      <c r="P31" s="91" t="s">
        <v>34</v>
      </c>
      <c r="Q31" s="92"/>
      <c r="R31" s="91" t="s">
        <v>35</v>
      </c>
      <c r="S31" s="92"/>
      <c r="T31" s="91" t="s">
        <v>36</v>
      </c>
      <c r="U31" s="92"/>
      <c r="V31" s="103" t="s">
        <v>37</v>
      </c>
      <c r="W31" s="104" t="s">
        <v>38</v>
      </c>
      <c r="X31" s="105" t="s">
        <v>39</v>
      </c>
    </row>
    <row r="32" spans="1:24" ht="15.95" customHeight="1">
      <c r="A32" s="144"/>
      <c r="B32" s="145"/>
      <c r="C32" s="97"/>
      <c r="D32" s="32">
        <v>0</v>
      </c>
      <c r="E32" s="15">
        <v>30</v>
      </c>
      <c r="F32" s="16">
        <v>0</v>
      </c>
      <c r="G32" s="17">
        <v>30</v>
      </c>
      <c r="H32" s="16">
        <v>0</v>
      </c>
      <c r="I32" s="17">
        <v>30</v>
      </c>
      <c r="J32" s="16">
        <v>0</v>
      </c>
      <c r="K32" s="17">
        <v>30</v>
      </c>
      <c r="L32" s="16">
        <v>0</v>
      </c>
      <c r="M32" s="17">
        <v>30</v>
      </c>
      <c r="N32" s="16">
        <v>0</v>
      </c>
      <c r="O32" s="17">
        <v>30</v>
      </c>
      <c r="P32" s="14">
        <v>0</v>
      </c>
      <c r="Q32" s="15">
        <v>30</v>
      </c>
      <c r="R32" s="14">
        <v>0</v>
      </c>
      <c r="S32" s="15">
        <v>30</v>
      </c>
      <c r="T32" s="14">
        <v>0</v>
      </c>
      <c r="U32" s="15">
        <v>30</v>
      </c>
      <c r="V32" s="146"/>
      <c r="W32" s="101"/>
      <c r="X32" s="147"/>
    </row>
    <row r="33" spans="1:24" ht="20.100000000000001" customHeight="1">
      <c r="A33" s="88" t="s">
        <v>40</v>
      </c>
      <c r="B33" s="21" t="s">
        <v>41</v>
      </c>
      <c r="C33" s="34" t="b">
        <v>0</v>
      </c>
      <c r="D33" s="28"/>
      <c r="E33" s="23"/>
      <c r="F33" s="22"/>
      <c r="G33" s="23"/>
      <c r="H33" s="22"/>
      <c r="I33" s="23"/>
      <c r="J33" s="22"/>
      <c r="K33" s="23"/>
      <c r="L33" s="22"/>
      <c r="M33" s="23"/>
      <c r="N33" s="22"/>
      <c r="O33" s="23"/>
      <c r="P33" s="22"/>
      <c r="Q33" s="23"/>
      <c r="R33" s="22"/>
      <c r="S33" s="23"/>
      <c r="T33" s="22"/>
      <c r="U33" s="23"/>
      <c r="V33" s="38" t="str" cm="1">
        <f t="array" aca="1" ref="V33" ca="1">IF(C33=TRUE, "OFF", IF(COUNTIF(D33:U33,"In")=0, "-", IF(COUNTIF(D33:U33,"In")=1, INDEX($D$3:$U$3, MATCH("In",D33:U33,0)) &amp; " - " &amp; INDEX($D$4:$U$4, MATCH("Out",D33:U33,0)), INDEX($D$3:$U$3, MATCH("In",D33:U33,0)) &amp; " - " &amp; INDEX($D$4:$U$4, MATCH("Out",D33:U33,0)) &amp; ", " &amp; INDEX($D$3:$U$3, MATCH("Out",D33:U33,0) + MATCH("In", OFFSET(D33,0,MATCH("Out",D33:U33,0),1,18-MATCH("Out",D33:U33,0)),0)) &amp; " - " &amp; INDEX($D$4:$U$4, MATCH("Out",D33:U33,0) + MATCH("In", OFFSET(D33,0,MATCH("Out",D33:U33,0),1,18-MATCH("Out",D33:U33,0)),0) + MATCH("Out", OFFSET(D33,0,MATCH("Out",D33:U33,0)+MATCH("In", OFFSET(D33,0,MATCH("Out",D33:U33,0),1,18-MATCH("Out",D33:U33,0)),0),1,18-(MATCH("Out",D33:U33,0)+MATCH("In", OFFSET(D33,0,MATCH("Out",D33:U33,0),1,18-MATCH("Out",D33:U33,0)),0))),0)))))</f>
        <v>-</v>
      </c>
      <c r="W33" s="1" t="s">
        <v>44</v>
      </c>
      <c r="X33" s="7"/>
    </row>
    <row r="34" spans="1:24">
      <c r="A34" s="148"/>
      <c r="B34" s="24" t="s">
        <v>45</v>
      </c>
      <c r="C34" s="35" t="b">
        <v>0</v>
      </c>
      <c r="D34" s="22" t="s">
        <v>42</v>
      </c>
      <c r="E34" s="23"/>
      <c r="F34" s="22"/>
      <c r="G34" s="23"/>
      <c r="H34" s="22"/>
      <c r="I34" s="23"/>
      <c r="J34" s="22"/>
      <c r="K34" s="23" t="s">
        <v>43</v>
      </c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39" t="str" cm="1">
        <f t="array" aca="1" ref="V34" ca="1">IF(C34=TRUE, "OFF", IF(COUNTIF(D34:U34,"In")=0, "-", IF(COUNTIF(D34:U34,"In")=1, INDEX($D$3:$U$3, MATCH("In",D34:U34,0)) &amp; " - " &amp; INDEX($D$4:$U$4, MATCH("Out",D34:U34,0)), INDEX($D$3:$U$3, MATCH("In",D34:U34,0)) &amp; " - " &amp; INDEX($D$4:$U$4, MATCH("Out",D34:U34,0)) &amp; ", " &amp; INDEX($D$3:$U$3, MATCH("Out",D34:U34,0) + MATCH("In", OFFSET(D34,0,MATCH("Out",D34:U34,0),1,18-MATCH("Out",D34:U34,0)),0)) &amp; " - " &amp; INDEX($D$4:$U$4, MATCH("Out",D34:U34,0) + MATCH("In", OFFSET(D34,0,MATCH("Out",D34:U34,0),1,18-MATCH("Out",D34:U34,0)),0) + MATCH("Out", OFFSET(D34,0,MATCH("Out",D34:U34,0)+MATCH("In", OFFSET(D34,0,MATCH("Out",D34:U34,0),1,18-MATCH("Out",D34:U34,0)),0),1,18-(MATCH("Out",D34:U34,0)+MATCH("In", OFFSET(D34,0,MATCH("Out",D34:U34,0),1,18-MATCH("Out",D34:U34,0)),0))),0)))))</f>
        <v>8:00 AM - 12:00 PM</v>
      </c>
      <c r="W34" s="1" t="s">
        <v>44</v>
      </c>
      <c r="X34" s="7"/>
    </row>
    <row r="35" spans="1:24">
      <c r="A35" s="89" t="s">
        <v>46</v>
      </c>
      <c r="B35" s="18" t="s">
        <v>47</v>
      </c>
      <c r="C35" s="36" t="b">
        <v>0</v>
      </c>
      <c r="D35" s="30"/>
      <c r="E35" s="20"/>
      <c r="F35" s="19" t="s">
        <v>42</v>
      </c>
      <c r="G35" s="20"/>
      <c r="H35" s="19"/>
      <c r="I35" s="20"/>
      <c r="J35" s="19"/>
      <c r="K35" s="20"/>
      <c r="L35" s="19"/>
      <c r="M35" s="20" t="s">
        <v>43</v>
      </c>
      <c r="N35" s="19"/>
      <c r="O35" s="20"/>
      <c r="P35" s="19"/>
      <c r="Q35" s="20"/>
      <c r="R35" s="19"/>
      <c r="S35" s="20"/>
      <c r="T35" s="19"/>
      <c r="U35" s="20"/>
      <c r="V35" s="39" t="str" cm="1">
        <f t="array" aca="1" ref="V35" ca="1">IF(C35=TRUE, "OFF", IF(COUNTIF(D35:U35,"In")=0, "-", IF(COUNTIF(D35:U35,"In")=1, INDEX($D$3:$U$3, MATCH("In",D35:U35,0)) &amp; " - " &amp; INDEX($D$4:$U$4, MATCH("Out",D35:U35,0)), INDEX($D$3:$U$3, MATCH("In",D35:U35,0)) &amp; " - " &amp; INDEX($D$4:$U$4, MATCH("Out",D35:U35,0)) &amp; ", " &amp; INDEX($D$3:$U$3, MATCH("Out",D35:U35,0) + MATCH("In", OFFSET(D35,0,MATCH("Out",D35:U35,0),1,18-MATCH("Out",D35:U35,0)),0)) &amp; " - " &amp; INDEX($D$4:$U$4, MATCH("Out",D35:U35,0) + MATCH("In", OFFSET(D35,0,MATCH("Out",D35:U35,0),1,18-MATCH("Out",D35:U35,0)),0) + MATCH("Out", OFFSET(D35,0,MATCH("Out",D35:U35,0)+MATCH("In", OFFSET(D35,0,MATCH("Out",D35:U35,0),1,18-MATCH("Out",D35:U35,0)),0),1,18-(MATCH("Out",D35:U35,0)+MATCH("In", OFFSET(D35,0,MATCH("Out",D35:U35,0),1,18-MATCH("Out",D35:U35,0)),0))),0)))))</f>
        <v>9:00 AM - 1:00 PM</v>
      </c>
      <c r="W35" s="25" t="s">
        <v>44</v>
      </c>
      <c r="X35" s="7"/>
    </row>
    <row r="36" spans="1:24" ht="20.100000000000001" customHeight="1">
      <c r="A36" s="149"/>
      <c r="B36" s="13" t="s">
        <v>48</v>
      </c>
      <c r="C36" s="37" t="b">
        <v>0</v>
      </c>
      <c r="D36" s="31"/>
      <c r="E36" s="27"/>
      <c r="F36" s="19" t="s">
        <v>42</v>
      </c>
      <c r="G36" s="20"/>
      <c r="H36" s="19"/>
      <c r="I36" s="20"/>
      <c r="J36" s="19"/>
      <c r="K36" s="20"/>
      <c r="L36" s="19"/>
      <c r="M36" s="20" t="s">
        <v>43</v>
      </c>
      <c r="N36" s="26"/>
      <c r="O36" s="27"/>
      <c r="P36" s="26"/>
      <c r="Q36" s="27"/>
      <c r="R36" s="26"/>
      <c r="S36" s="27"/>
      <c r="T36" s="26"/>
      <c r="U36" s="27"/>
      <c r="V36" s="33" t="str" cm="1">
        <f t="array" aca="1" ref="V36" ca="1">IF(C36=TRUE, "OFF", IF(COUNTIF(D36:U36,"In")=0, "-", IF(COUNTIF(D36:U36,"In")=1, INDEX($D$3:$U$3, MATCH("In",D36:U36,0)) &amp; " - " &amp; INDEX($D$4:$U$4, MATCH("Out",D36:U36,0)), INDEX($D$3:$U$3, MATCH("In",D36:U36,0)) &amp; " - " &amp; INDEX($D$4:$U$4, MATCH("Out",D36:U36,0)) &amp; ", " &amp; INDEX($D$3:$U$3, MATCH("Out",D36:U36,0) + MATCH("In", OFFSET(D36,0,MATCH("Out",D36:U36,0),1,18-MATCH("Out",D36:U36,0)),0)) &amp; " - " &amp; INDEX($D$4:$U$4, MATCH("Out",D36:U36,0) + MATCH("In", OFFSET(D36,0,MATCH("Out",D36:U36,0),1,18-MATCH("Out",D36:U36,0)),0) + MATCH("Out", OFFSET(D36,0,MATCH("Out",D36:U36,0)+MATCH("In", OFFSET(D36,0,MATCH("Out",D36:U36,0),1,18-MATCH("Out",D36:U36,0)),0),1,18-(MATCH("Out",D36:U36,0)+MATCH("In", OFFSET(D36,0,MATCH("Out",D36:U36,0),1,18-MATCH("Out",D36:U36,0)),0))),0)))))</f>
        <v>9:00 AM - 1:00 PM</v>
      </c>
      <c r="W36" s="8" t="s">
        <v>44</v>
      </c>
      <c r="X36" s="9"/>
    </row>
    <row r="37" spans="1:24" ht="20.100000000000001" customHeigh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s="10" customFormat="1" ht="29.1" customHeight="1">
      <c r="A38" s="90" t="str">
        <f>"FRIDAY (" &amp; TEXT($AA$1+4, "d mmm") &amp; ")"</f>
        <v>FRIDAY (25 Sep)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</row>
    <row r="39" spans="1:24">
      <c r="A39" s="94" t="s">
        <v>25</v>
      </c>
      <c r="B39" s="95" t="s">
        <v>26</v>
      </c>
      <c r="C39" s="96" t="s">
        <v>27</v>
      </c>
      <c r="D39" s="98" t="s">
        <v>28</v>
      </c>
      <c r="E39" s="143"/>
      <c r="F39" s="99" t="s">
        <v>29</v>
      </c>
      <c r="G39" s="143"/>
      <c r="H39" s="99" t="s">
        <v>30</v>
      </c>
      <c r="I39" s="143"/>
      <c r="J39" s="99" t="s">
        <v>31</v>
      </c>
      <c r="K39" s="143"/>
      <c r="L39" s="91" t="s">
        <v>32</v>
      </c>
      <c r="M39" s="92"/>
      <c r="N39" s="91" t="s">
        <v>33</v>
      </c>
      <c r="O39" s="92"/>
      <c r="P39" s="91" t="s">
        <v>34</v>
      </c>
      <c r="Q39" s="92"/>
      <c r="R39" s="91" t="s">
        <v>35</v>
      </c>
      <c r="S39" s="92"/>
      <c r="T39" s="91" t="s">
        <v>36</v>
      </c>
      <c r="U39" s="92"/>
      <c r="V39" s="103" t="s">
        <v>37</v>
      </c>
      <c r="W39" s="104" t="s">
        <v>38</v>
      </c>
      <c r="X39" s="105" t="s">
        <v>39</v>
      </c>
    </row>
    <row r="40" spans="1:24" ht="15.95" customHeight="1">
      <c r="A40" s="144"/>
      <c r="B40" s="145"/>
      <c r="C40" s="97"/>
      <c r="D40" s="32">
        <v>0</v>
      </c>
      <c r="E40" s="15">
        <v>30</v>
      </c>
      <c r="F40" s="16">
        <v>0</v>
      </c>
      <c r="G40" s="17">
        <v>30</v>
      </c>
      <c r="H40" s="16">
        <v>0</v>
      </c>
      <c r="I40" s="17">
        <v>30</v>
      </c>
      <c r="J40" s="16">
        <v>0</v>
      </c>
      <c r="K40" s="17">
        <v>30</v>
      </c>
      <c r="L40" s="16">
        <v>0</v>
      </c>
      <c r="M40" s="17">
        <v>30</v>
      </c>
      <c r="N40" s="16">
        <v>0</v>
      </c>
      <c r="O40" s="17">
        <v>30</v>
      </c>
      <c r="P40" s="14">
        <v>0</v>
      </c>
      <c r="Q40" s="15">
        <v>30</v>
      </c>
      <c r="R40" s="14">
        <v>0</v>
      </c>
      <c r="S40" s="15">
        <v>30</v>
      </c>
      <c r="T40" s="14">
        <v>0</v>
      </c>
      <c r="U40" s="15">
        <v>30</v>
      </c>
      <c r="V40" s="146"/>
      <c r="W40" s="101"/>
      <c r="X40" s="147"/>
    </row>
    <row r="41" spans="1:24" ht="20.100000000000001" customHeight="1">
      <c r="A41" s="88" t="s">
        <v>40</v>
      </c>
      <c r="B41" s="21" t="s">
        <v>41</v>
      </c>
      <c r="C41" s="34" t="b">
        <v>0</v>
      </c>
      <c r="D41" s="28"/>
      <c r="E41" s="23"/>
      <c r="F41" s="22"/>
      <c r="G41" s="23"/>
      <c r="H41" s="22"/>
      <c r="I41" s="23"/>
      <c r="J41" s="22"/>
      <c r="K41" s="23"/>
      <c r="L41" s="22"/>
      <c r="M41" s="23"/>
      <c r="N41" s="22"/>
      <c r="O41" s="23"/>
      <c r="P41" s="22"/>
      <c r="Q41" s="23"/>
      <c r="R41" s="22"/>
      <c r="S41" s="23"/>
      <c r="T41" s="22"/>
      <c r="U41" s="23"/>
      <c r="V41" s="38" t="str" cm="1">
        <f t="array" aca="1" ref="V41" ca="1">IF(C41=TRUE, "OFF", IF(COUNTIF(D41:U41,"In")=0, "-", IF(COUNTIF(D41:U41,"In")=1, INDEX($D$3:$U$3, MATCH("In",D41:U41,0)) &amp; " - " &amp; INDEX($D$4:$U$4, MATCH("Out",D41:U41,0)), INDEX($D$3:$U$3, MATCH("In",D41:U41,0)) &amp; " - " &amp; INDEX($D$4:$U$4, MATCH("Out",D41:U41,0)) &amp; ", " &amp; INDEX($D$3:$U$3, MATCH("Out",D41:U41,0) + MATCH("In", OFFSET(D41,0,MATCH("Out",D41:U41,0),1,18-MATCH("Out",D41:U41,0)),0)) &amp; " - " &amp; INDEX($D$4:$U$4, MATCH("Out",D41:U41,0) + MATCH("In", OFFSET(D41,0,MATCH("Out",D41:U41,0),1,18-MATCH("Out",D41:U41,0)),0) + MATCH("Out", OFFSET(D41,0,MATCH("Out",D41:U41,0)+MATCH("In", OFFSET(D41,0,MATCH("Out",D41:U41,0),1,18-MATCH("Out",D41:U41,0)),0),1,18-(MATCH("Out",D41:U41,0)+MATCH("In", OFFSET(D41,0,MATCH("Out",D41:U41,0),1,18-MATCH("Out",D41:U41,0)),0))),0)))))</f>
        <v>-</v>
      </c>
      <c r="W41" s="1" t="s">
        <v>44</v>
      </c>
      <c r="X41" s="7"/>
    </row>
    <row r="42" spans="1:24" ht="20.100000000000001" customHeight="1">
      <c r="A42" s="148"/>
      <c r="B42" s="24" t="s">
        <v>45</v>
      </c>
      <c r="C42" s="35" t="b">
        <v>0</v>
      </c>
      <c r="D42" s="22" t="s">
        <v>42</v>
      </c>
      <c r="E42" s="23"/>
      <c r="F42" s="22"/>
      <c r="G42" s="23"/>
      <c r="H42" s="22"/>
      <c r="I42" s="23"/>
      <c r="J42" s="22"/>
      <c r="K42" s="23" t="s">
        <v>43</v>
      </c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39" t="str" cm="1">
        <f t="array" aca="1" ref="V42" ca="1">IF(C42=TRUE, "OFF", IF(COUNTIF(D42:U42,"In")=0, "-", IF(COUNTIF(D42:U42,"In")=1, INDEX($D$3:$U$3, MATCH("In",D42:U42,0)) &amp; " - " &amp; INDEX($D$4:$U$4, MATCH("Out",D42:U42,0)), INDEX($D$3:$U$3, MATCH("In",D42:U42,0)) &amp; " - " &amp; INDEX($D$4:$U$4, MATCH("Out",D42:U42,0)) &amp; ", " &amp; INDEX($D$3:$U$3, MATCH("Out",D42:U42,0) + MATCH("In", OFFSET(D42,0,MATCH("Out",D42:U42,0),1,18-MATCH("Out",D42:U42,0)),0)) &amp; " - " &amp; INDEX($D$4:$U$4, MATCH("Out",D42:U42,0) + MATCH("In", OFFSET(D42,0,MATCH("Out",D42:U42,0),1,18-MATCH("Out",D42:U42,0)),0) + MATCH("Out", OFFSET(D42,0,MATCH("Out",D42:U42,0)+MATCH("In", OFFSET(D42,0,MATCH("Out",D42:U42,0),1,18-MATCH("Out",D42:U42,0)),0),1,18-(MATCH("Out",D42:U42,0)+MATCH("In", OFFSET(D42,0,MATCH("Out",D42:U42,0),1,18-MATCH("Out",D42:U42,0)),0))),0)))))</f>
        <v>8:00 AM - 12:00 PM</v>
      </c>
      <c r="W42" s="1" t="s">
        <v>44</v>
      </c>
      <c r="X42" s="7"/>
    </row>
    <row r="43" spans="1:24" ht="20.100000000000001" customHeight="1">
      <c r="A43" s="89" t="s">
        <v>46</v>
      </c>
      <c r="B43" s="18" t="s">
        <v>47</v>
      </c>
      <c r="C43" s="36" t="b">
        <v>0</v>
      </c>
      <c r="D43" s="30"/>
      <c r="E43" s="20"/>
      <c r="F43" s="19" t="s">
        <v>42</v>
      </c>
      <c r="G43" s="20"/>
      <c r="H43" s="19"/>
      <c r="I43" s="20"/>
      <c r="J43" s="19"/>
      <c r="K43" s="20"/>
      <c r="L43" s="19"/>
      <c r="M43" s="20" t="s">
        <v>43</v>
      </c>
      <c r="N43" s="19"/>
      <c r="O43" s="20"/>
      <c r="P43" s="19"/>
      <c r="Q43" s="20"/>
      <c r="R43" s="19"/>
      <c r="S43" s="20"/>
      <c r="T43" s="19"/>
      <c r="U43" s="20"/>
      <c r="V43" s="39" t="str" cm="1">
        <f t="array" aca="1" ref="V43" ca="1">IF(C43=TRUE, "OFF", IF(COUNTIF(D43:U43,"In")=0, "-", IF(COUNTIF(D43:U43,"In")=1, INDEX($D$3:$U$3, MATCH("In",D43:U43,0)) &amp; " - " &amp; INDEX($D$4:$U$4, MATCH("Out",D43:U43,0)), INDEX($D$3:$U$3, MATCH("In",D43:U43,0)) &amp; " - " &amp; INDEX($D$4:$U$4, MATCH("Out",D43:U43,0)) &amp; ", " &amp; INDEX($D$3:$U$3, MATCH("Out",D43:U43,0) + MATCH("In", OFFSET(D43,0,MATCH("Out",D43:U43,0),1,18-MATCH("Out",D43:U43,0)),0)) &amp; " - " &amp; INDEX($D$4:$U$4, MATCH("Out",D43:U43,0) + MATCH("In", OFFSET(D43,0,MATCH("Out",D43:U43,0),1,18-MATCH("Out",D43:U43,0)),0) + MATCH("Out", OFFSET(D43,0,MATCH("Out",D43:U43,0)+MATCH("In", OFFSET(D43,0,MATCH("Out",D43:U43,0),1,18-MATCH("Out",D43:U43,0)),0),1,18-(MATCH("Out",D43:U43,0)+MATCH("In", OFFSET(D43,0,MATCH("Out",D43:U43,0),1,18-MATCH("Out",D43:U43,0)),0))),0)))))</f>
        <v>9:00 AM - 1:00 PM</v>
      </c>
      <c r="W43" s="25" t="s">
        <v>44</v>
      </c>
      <c r="X43" s="7"/>
    </row>
    <row r="44" spans="1:24" ht="20.100000000000001" customHeight="1">
      <c r="A44" s="149"/>
      <c r="B44" s="13" t="s">
        <v>48</v>
      </c>
      <c r="C44" s="37" t="b">
        <v>0</v>
      </c>
      <c r="D44" s="31"/>
      <c r="E44" s="27"/>
      <c r="F44" s="19" t="s">
        <v>42</v>
      </c>
      <c r="G44" s="20"/>
      <c r="H44" s="19"/>
      <c r="I44" s="20"/>
      <c r="J44" s="19"/>
      <c r="K44" s="20"/>
      <c r="L44" s="19"/>
      <c r="M44" s="20" t="s">
        <v>43</v>
      </c>
      <c r="N44" s="26"/>
      <c r="O44" s="27"/>
      <c r="P44" s="26"/>
      <c r="Q44" s="27"/>
      <c r="R44" s="26"/>
      <c r="S44" s="27"/>
      <c r="T44" s="26"/>
      <c r="U44" s="27"/>
      <c r="V44" s="33" t="str" cm="1">
        <f t="array" aca="1" ref="V44" ca="1">IF(C44=TRUE, "OFF", IF(COUNTIF(D44:U44,"In")=0, "-", IF(COUNTIF(D44:U44,"In")=1, INDEX($D$3:$U$3, MATCH("In",D44:U44,0)) &amp; " - " &amp; INDEX($D$4:$U$4, MATCH("Out",D44:U44,0)), INDEX($D$3:$U$3, MATCH("In",D44:U44,0)) &amp; " - " &amp; INDEX($D$4:$U$4, MATCH("Out",D44:U44,0)) &amp; ", " &amp; INDEX($D$3:$U$3, MATCH("Out",D44:U44,0) + MATCH("In", OFFSET(D44,0,MATCH("Out",D44:U44,0),1,18-MATCH("Out",D44:U44,0)),0)) &amp; " - " &amp; INDEX($D$4:$U$4, MATCH("Out",D44:U44,0) + MATCH("In", OFFSET(D44,0,MATCH("Out",D44:U44,0),1,18-MATCH("Out",D44:U44,0)),0) + MATCH("Out", OFFSET(D44,0,MATCH("Out",D44:U44,0)+MATCH("In", OFFSET(D44,0,MATCH("Out",D44:U44,0),1,18-MATCH("Out",D44:U44,0)),0),1,18-(MATCH("Out",D44:U44,0)+MATCH("In", OFFSET(D44,0,MATCH("Out",D44:U44,0),1,18-MATCH("Out",D44:U44,0)),0))),0)))))</f>
        <v>9:00 AM - 1:00 PM</v>
      </c>
      <c r="W44" s="8" t="s">
        <v>44</v>
      </c>
      <c r="X44" s="9"/>
    </row>
  </sheetData>
  <mergeCells count="102">
    <mergeCell ref="A41:A42"/>
    <mergeCell ref="A43:A44"/>
    <mergeCell ref="P39:Q39"/>
    <mergeCell ref="R39:S39"/>
    <mergeCell ref="T39:U39"/>
    <mergeCell ref="V39:V40"/>
    <mergeCell ref="W39:W40"/>
    <mergeCell ref="X39:X40"/>
    <mergeCell ref="A38:X38"/>
    <mergeCell ref="A39:A40"/>
    <mergeCell ref="B39:B40"/>
    <mergeCell ref="C39:C40"/>
    <mergeCell ref="D39:E39"/>
    <mergeCell ref="F39:G39"/>
    <mergeCell ref="H39:I39"/>
    <mergeCell ref="J39:K39"/>
    <mergeCell ref="L39:M39"/>
    <mergeCell ref="N39:O39"/>
    <mergeCell ref="A33:A34"/>
    <mergeCell ref="A35:A36"/>
    <mergeCell ref="A37:X37"/>
    <mergeCell ref="J31:K31"/>
    <mergeCell ref="L31:M31"/>
    <mergeCell ref="N31:O31"/>
    <mergeCell ref="P31:Q31"/>
    <mergeCell ref="R31:S31"/>
    <mergeCell ref="T31:U31"/>
    <mergeCell ref="A25:A26"/>
    <mergeCell ref="A27:A28"/>
    <mergeCell ref="A29:X29"/>
    <mergeCell ref="A30:X30"/>
    <mergeCell ref="A31:A32"/>
    <mergeCell ref="B31:B32"/>
    <mergeCell ref="C31:C32"/>
    <mergeCell ref="D31:E31"/>
    <mergeCell ref="F31:G31"/>
    <mergeCell ref="H31:I31"/>
    <mergeCell ref="V31:V32"/>
    <mergeCell ref="W31:W32"/>
    <mergeCell ref="X31:X32"/>
    <mergeCell ref="P23:Q23"/>
    <mergeCell ref="R23:S23"/>
    <mergeCell ref="T23:U23"/>
    <mergeCell ref="V23:V24"/>
    <mergeCell ref="W23:W24"/>
    <mergeCell ref="X23:X24"/>
    <mergeCell ref="A22:X22"/>
    <mergeCell ref="A23:A24"/>
    <mergeCell ref="B23:B24"/>
    <mergeCell ref="C23:C24"/>
    <mergeCell ref="D23:E23"/>
    <mergeCell ref="F23:G23"/>
    <mergeCell ref="H23:I23"/>
    <mergeCell ref="J23:K23"/>
    <mergeCell ref="L23:M23"/>
    <mergeCell ref="N23:O23"/>
    <mergeCell ref="V15:V16"/>
    <mergeCell ref="W15:W16"/>
    <mergeCell ref="X15:X16"/>
    <mergeCell ref="A17:A18"/>
    <mergeCell ref="A19:A20"/>
    <mergeCell ref="A21:X21"/>
    <mergeCell ref="J15:K15"/>
    <mergeCell ref="L15:M15"/>
    <mergeCell ref="N15:O15"/>
    <mergeCell ref="P15:Q15"/>
    <mergeCell ref="R15:S15"/>
    <mergeCell ref="T15:U15"/>
    <mergeCell ref="A15:A16"/>
    <mergeCell ref="B15:B16"/>
    <mergeCell ref="C15:C16"/>
    <mergeCell ref="D15:E15"/>
    <mergeCell ref="F15:G15"/>
    <mergeCell ref="H15:I15"/>
    <mergeCell ref="A9:A10"/>
    <mergeCell ref="A11:A12"/>
    <mergeCell ref="A13:X13"/>
    <mergeCell ref="A14:X14"/>
    <mergeCell ref="L7:M7"/>
    <mergeCell ref="N7:O7"/>
    <mergeCell ref="P7:Q7"/>
    <mergeCell ref="R7:S7"/>
    <mergeCell ref="T7:U7"/>
    <mergeCell ref="V7:V8"/>
    <mergeCell ref="A7:A8"/>
    <mergeCell ref="B7:B8"/>
    <mergeCell ref="C7:C8"/>
    <mergeCell ref="D7:E7"/>
    <mergeCell ref="F7:G7"/>
    <mergeCell ref="H7:I7"/>
    <mergeCell ref="J7:K7"/>
    <mergeCell ref="W7:W8"/>
    <mergeCell ref="X7:X8"/>
    <mergeCell ref="A1:K1"/>
    <mergeCell ref="L1:M1"/>
    <mergeCell ref="N1:O1"/>
    <mergeCell ref="P1:Q1"/>
    <mergeCell ref="R1:S1"/>
    <mergeCell ref="T1:X1"/>
    <mergeCell ref="A2:X2"/>
    <mergeCell ref="A5:X5"/>
    <mergeCell ref="A6:X6"/>
  </mergeCells>
  <phoneticPr fontId="10" type="noConversion"/>
  <conditionalFormatting sqref="D6:U12 D14:U20 D22:U28 D30:U36 D38:U44">
    <cfRule type="expression" dxfId="292" priority="15" stopIfTrue="1">
      <formula>$C6=TRUE</formula>
    </cfRule>
    <cfRule type="expression" dxfId="291" priority="51">
      <formula>OR(COUNTIF($D6:D6,"In")&gt;COUNTIF($D6:D6,"Out"), D6="Out")</formula>
    </cfRule>
    <cfRule type="cellIs" dxfId="290" priority="52" operator="equal">
      <formula>"In"</formula>
    </cfRule>
    <cfRule type="cellIs" dxfId="289" priority="53" operator="equal">
      <formula>"Out"</formula>
    </cfRule>
  </conditionalFormatting>
  <conditionalFormatting sqref="W7:W10 W12">
    <cfRule type="cellIs" dxfId="288" priority="47" operator="equal">
      <formula>"✓ Approved"</formula>
    </cfRule>
    <cfRule type="cellIs" dxfId="287" priority="48" operator="equal">
      <formula>"Pending"</formula>
    </cfRule>
    <cfRule type="cellIs" dxfId="286" priority="49" operator="equal">
      <formula>"Rejected"</formula>
    </cfRule>
    <cfRule type="cellIs" dxfId="285" priority="50" operator="equal">
      <formula>"-"</formula>
    </cfRule>
  </conditionalFormatting>
  <conditionalFormatting sqref="W9:W10 W12">
    <cfRule type="cellIs" dxfId="284" priority="44" operator="equal">
      <formula>"Rejected"</formula>
    </cfRule>
    <cfRule type="cellIs" dxfId="283" priority="45" operator="equal">
      <formula>"Pending"</formula>
    </cfRule>
    <cfRule type="cellIs" dxfId="282" priority="46" operator="equal">
      <formula>"✓ Approved"</formula>
    </cfRule>
  </conditionalFormatting>
  <conditionalFormatting sqref="W15:W20">
    <cfRule type="cellIs" dxfId="281" priority="40" operator="equal">
      <formula>"✓ Approved"</formula>
    </cfRule>
    <cfRule type="cellIs" dxfId="280" priority="41" operator="equal">
      <formula>"Pending"</formula>
    </cfRule>
    <cfRule type="cellIs" dxfId="279" priority="42" operator="equal">
      <formula>"Rejected"</formula>
    </cfRule>
    <cfRule type="cellIs" dxfId="278" priority="43" operator="equal">
      <formula>"-"</formula>
    </cfRule>
  </conditionalFormatting>
  <conditionalFormatting sqref="W17:W20">
    <cfRule type="cellIs" dxfId="277" priority="37" operator="equal">
      <formula>"Rejected"</formula>
    </cfRule>
    <cfRule type="cellIs" dxfId="276" priority="38" operator="equal">
      <formula>"Pending"</formula>
    </cfRule>
    <cfRule type="cellIs" dxfId="275" priority="39" operator="equal">
      <formula>"✓ Approved"</formula>
    </cfRule>
  </conditionalFormatting>
  <conditionalFormatting sqref="W23:W26 W28">
    <cfRule type="cellIs" dxfId="274" priority="33" operator="equal">
      <formula>"✓ Approved"</formula>
    </cfRule>
    <cfRule type="cellIs" dxfId="273" priority="34" operator="equal">
      <formula>"Pending"</formula>
    </cfRule>
    <cfRule type="cellIs" dxfId="272" priority="35" operator="equal">
      <formula>"Rejected"</formula>
    </cfRule>
    <cfRule type="cellIs" dxfId="271" priority="36" operator="equal">
      <formula>"-"</formula>
    </cfRule>
  </conditionalFormatting>
  <conditionalFormatting sqref="W25:W26 W28">
    <cfRule type="cellIs" dxfId="270" priority="30" operator="equal">
      <formula>"Rejected"</formula>
    </cfRule>
    <cfRule type="cellIs" dxfId="269" priority="31" operator="equal">
      <formula>"Pending"</formula>
    </cfRule>
    <cfRule type="cellIs" dxfId="268" priority="32" operator="equal">
      <formula>"✓ Approved"</formula>
    </cfRule>
  </conditionalFormatting>
  <conditionalFormatting sqref="W31:W36">
    <cfRule type="cellIs" dxfId="267" priority="26" operator="equal">
      <formula>"✓ Approved"</formula>
    </cfRule>
    <cfRule type="cellIs" dxfId="266" priority="27" operator="equal">
      <formula>"Pending"</formula>
    </cfRule>
    <cfRule type="cellIs" dxfId="265" priority="28" operator="equal">
      <formula>"Rejected"</formula>
    </cfRule>
    <cfRule type="cellIs" dxfId="264" priority="29" operator="equal">
      <formula>"-"</formula>
    </cfRule>
  </conditionalFormatting>
  <conditionalFormatting sqref="W33:W36">
    <cfRule type="cellIs" dxfId="263" priority="23" operator="equal">
      <formula>"Rejected"</formula>
    </cfRule>
    <cfRule type="cellIs" dxfId="262" priority="24" operator="equal">
      <formula>"Pending"</formula>
    </cfRule>
    <cfRule type="cellIs" dxfId="261" priority="25" operator="equal">
      <formula>"✓ Approved"</formula>
    </cfRule>
  </conditionalFormatting>
  <conditionalFormatting sqref="W39:W44">
    <cfRule type="cellIs" dxfId="260" priority="19" operator="equal">
      <formula>"✓ Approved"</formula>
    </cfRule>
    <cfRule type="cellIs" dxfId="259" priority="20" operator="equal">
      <formula>"Pending"</formula>
    </cfRule>
    <cfRule type="cellIs" dxfId="258" priority="21" operator="equal">
      <formula>"Rejected"</formula>
    </cfRule>
    <cfRule type="cellIs" dxfId="257" priority="22" operator="equal">
      <formula>"-"</formula>
    </cfRule>
  </conditionalFormatting>
  <conditionalFormatting sqref="W41:W44">
    <cfRule type="cellIs" dxfId="256" priority="16" operator="equal">
      <formula>"Rejected"</formula>
    </cfRule>
    <cfRule type="cellIs" dxfId="255" priority="17" operator="equal">
      <formula>"Pending"</formula>
    </cfRule>
    <cfRule type="cellIs" dxfId="254" priority="18" operator="equal">
      <formula>"✓ Approved"</formula>
    </cfRule>
  </conditionalFormatting>
  <conditionalFormatting sqref="W11">
    <cfRule type="cellIs" dxfId="253" priority="11" operator="equal">
      <formula>"✓ Approved"</formula>
    </cfRule>
    <cfRule type="cellIs" dxfId="252" priority="12" operator="equal">
      <formula>"Pending"</formula>
    </cfRule>
    <cfRule type="cellIs" dxfId="251" priority="13" operator="equal">
      <formula>"Rejected"</formula>
    </cfRule>
    <cfRule type="cellIs" dxfId="250" priority="14" operator="equal">
      <formula>"-"</formula>
    </cfRule>
  </conditionalFormatting>
  <conditionalFormatting sqref="W11">
    <cfRule type="cellIs" dxfId="249" priority="8" operator="equal">
      <formula>"Rejected"</formula>
    </cfRule>
    <cfRule type="cellIs" dxfId="248" priority="9" operator="equal">
      <formula>"Pending"</formula>
    </cfRule>
    <cfRule type="cellIs" dxfId="247" priority="10" operator="equal">
      <formula>"✓ Approved"</formula>
    </cfRule>
  </conditionalFormatting>
  <conditionalFormatting sqref="W27">
    <cfRule type="cellIs" dxfId="246" priority="4" operator="equal">
      <formula>"✓ Approved"</formula>
    </cfRule>
    <cfRule type="cellIs" dxfId="245" priority="5" operator="equal">
      <formula>"Pending"</formula>
    </cfRule>
    <cfRule type="cellIs" dxfId="244" priority="6" operator="equal">
      <formula>"Rejected"</formula>
    </cfRule>
    <cfRule type="cellIs" dxfId="243" priority="7" operator="equal">
      <formula>"-"</formula>
    </cfRule>
  </conditionalFormatting>
  <conditionalFormatting sqref="W27">
    <cfRule type="cellIs" dxfId="242" priority="1" operator="equal">
      <formula>"Rejected"</formula>
    </cfRule>
    <cfRule type="cellIs" dxfId="241" priority="2" operator="equal">
      <formula>"Pending"</formula>
    </cfRule>
    <cfRule type="cellIs" dxfId="240" priority="3" operator="equal">
      <formula>"✓ Approved"</formula>
    </cfRule>
  </conditionalFormatting>
  <dataValidations count="1">
    <dataValidation type="list" allowBlank="1" showInputMessage="1" showErrorMessage="1" sqref="W17:W20 W33:W36 W41:W44 W9:W12 W25:W28" xr:uid="{D24DF013-0A26-4ED7-9F7F-F3AE4D94C946}">
      <formula1>"✓ Approved, Pending, Rejected, 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DAA5CF4C-ED89-4B7A-919D-87FEC3B1154A}">
          <x14:formula1>
            <xm:f>Lists!$A$2:$A$53</xm:f>
          </x14:formula1>
          <xm:sqref>R1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1C1B-47A6-471F-919B-047C4B838441}">
  <dimension ref="A1:AA44"/>
  <sheetViews>
    <sheetView topLeftCell="A19" workbookViewId="0">
      <selection activeCell="Z38" sqref="Z38:AA38"/>
    </sheetView>
  </sheetViews>
  <sheetFormatPr defaultColWidth="8.875" defaultRowHeight="16.5"/>
  <cols>
    <col min="1" max="1" width="11" customWidth="1"/>
    <col min="2" max="2" width="15" customWidth="1"/>
    <col min="3" max="3" width="6.375" customWidth="1"/>
    <col min="4" max="21" width="5.375" customWidth="1"/>
    <col min="22" max="22" width="28.875" customWidth="1"/>
    <col min="23" max="23" width="13" customWidth="1"/>
    <col min="24" max="24" width="30.5" customWidth="1"/>
    <col min="25" max="25" width="9"/>
    <col min="26" max="26" width="18.875" customWidth="1"/>
  </cols>
  <sheetData>
    <row r="1" spans="1:27" ht="33.950000000000003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 t="s">
        <v>1</v>
      </c>
      <c r="M1" s="79"/>
      <c r="N1" s="81">
        <v>2026</v>
      </c>
      <c r="O1" s="137"/>
      <c r="P1" s="80" t="s">
        <v>2</v>
      </c>
      <c r="Q1" s="79"/>
      <c r="R1" s="81" t="s">
        <v>49</v>
      </c>
      <c r="S1" s="137"/>
      <c r="T1" s="82" t="str">
        <f>"PERIOD " &amp; TEXT($AA$1, "d mmm") &amp; " ~ " &amp; TEXT($AA$1+4, "d mmm")</f>
        <v>PERIOD 14 Sep ~ 18 Sep</v>
      </c>
      <c r="U1" s="138"/>
      <c r="V1" s="138"/>
      <c r="W1" s="138"/>
      <c r="X1" s="138"/>
      <c r="Z1" s="3" t="s">
        <v>4</v>
      </c>
      <c r="AA1">
        <f>DATE(N1, 1, 4) - WEEKDAY(DATE(N1, 1, 4), 2) + (VALUE(SUBSTITUTE(R1, "Week ", "")) - 1)*7 + 1</f>
        <v>46279</v>
      </c>
    </row>
    <row r="2" spans="1:27" ht="47.1" customHeight="1">
      <c r="A2" s="83" t="s">
        <v>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0"/>
    </row>
    <row r="3" spans="1:27" ht="17.100000000000001" hidden="1" customHeight="1">
      <c r="A3" s="4"/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X3" s="6"/>
    </row>
    <row r="4" spans="1:27" ht="17.100000000000001" hidden="1" customHeight="1">
      <c r="A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X4" s="6"/>
    </row>
    <row r="5" spans="1:27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6"/>
    </row>
    <row r="6" spans="1:27" s="10" customFormat="1" ht="29.1" customHeight="1">
      <c r="A6" s="87" t="str">
        <f>"MONDAY (" &amp; TEXT($AA$1, "d mmm") &amp; ")"</f>
        <v>MONDAY (14 Sep)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2"/>
    </row>
    <row r="7" spans="1:27">
      <c r="A7" s="94" t="s">
        <v>25</v>
      </c>
      <c r="B7" s="95" t="s">
        <v>26</v>
      </c>
      <c r="C7" s="96" t="s">
        <v>27</v>
      </c>
      <c r="D7" s="98" t="s">
        <v>28</v>
      </c>
      <c r="E7" s="143"/>
      <c r="F7" s="99" t="s">
        <v>29</v>
      </c>
      <c r="G7" s="143"/>
      <c r="H7" s="99" t="s">
        <v>30</v>
      </c>
      <c r="I7" s="143"/>
      <c r="J7" s="99" t="s">
        <v>31</v>
      </c>
      <c r="K7" s="143"/>
      <c r="L7" s="91" t="s">
        <v>32</v>
      </c>
      <c r="M7" s="92"/>
      <c r="N7" s="91" t="s">
        <v>33</v>
      </c>
      <c r="O7" s="92"/>
      <c r="P7" s="91" t="s">
        <v>34</v>
      </c>
      <c r="Q7" s="92"/>
      <c r="R7" s="91" t="s">
        <v>35</v>
      </c>
      <c r="S7" s="92"/>
      <c r="T7" s="91" t="s">
        <v>36</v>
      </c>
      <c r="U7" s="92"/>
      <c r="V7" s="93" t="s">
        <v>37</v>
      </c>
      <c r="W7" s="100" t="s">
        <v>38</v>
      </c>
      <c r="X7" s="102" t="s">
        <v>39</v>
      </c>
    </row>
    <row r="8" spans="1:27" ht="15.95" customHeight="1">
      <c r="A8" s="144"/>
      <c r="B8" s="145"/>
      <c r="C8" s="97"/>
      <c r="D8" s="32">
        <v>0</v>
      </c>
      <c r="E8" s="15">
        <v>30</v>
      </c>
      <c r="F8" s="16">
        <v>0</v>
      </c>
      <c r="G8" s="17">
        <v>30</v>
      </c>
      <c r="H8" s="16">
        <v>0</v>
      </c>
      <c r="I8" s="17">
        <v>30</v>
      </c>
      <c r="J8" s="16">
        <v>0</v>
      </c>
      <c r="K8" s="17">
        <v>30</v>
      </c>
      <c r="L8" s="16">
        <v>0</v>
      </c>
      <c r="M8" s="17">
        <v>30</v>
      </c>
      <c r="N8" s="16">
        <v>0</v>
      </c>
      <c r="O8" s="17">
        <v>30</v>
      </c>
      <c r="P8" s="14">
        <v>0</v>
      </c>
      <c r="Q8" s="15">
        <v>30</v>
      </c>
      <c r="R8" s="14">
        <v>0</v>
      </c>
      <c r="S8" s="15">
        <v>30</v>
      </c>
      <c r="T8" s="14">
        <v>0</v>
      </c>
      <c r="U8" s="15">
        <v>30</v>
      </c>
      <c r="V8" s="146"/>
      <c r="W8" s="101"/>
      <c r="X8" s="147"/>
    </row>
    <row r="9" spans="1:27" ht="20.100000000000001" customHeight="1">
      <c r="A9" s="88" t="s">
        <v>40</v>
      </c>
      <c r="B9" s="21" t="s">
        <v>41</v>
      </c>
      <c r="C9" s="34" t="b">
        <v>0</v>
      </c>
      <c r="D9" s="28"/>
      <c r="E9" s="23"/>
      <c r="F9" s="22" t="s">
        <v>42</v>
      </c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 t="s">
        <v>43</v>
      </c>
      <c r="V9" s="38" t="str" cm="1">
        <f t="array" aca="1" ref="V9" ca="1">IF(C9=TRUE, "OFF", IF(COUNTIF(D9:U9,"In")=0, "-", IF(COUNTIF(D9:U9,"In")=1, INDEX($D$3:$U$3, MATCH("In",D9:U9,0)) &amp; " - " &amp; INDEX($D$4:$U$4, MATCH("Out",D9:U9,0)), INDEX($D$3:$U$3, MATCH("In",D9:U9,0)) &amp; " - " &amp; INDEX($D$4:$U$4, MATCH("Out",D9:U9,0)) &amp; ", " &amp; INDEX($D$3:$U$3, MATCH("Out",D9:U9,0) + MATCH("In", OFFSET(D9,0,MATCH("Out",D9:U9,0),1,18-MATCH("Out",D9:U9,0)),0)) &amp; " - " &amp; INDEX($D$4:$U$4, MATCH("Out",D9:U9,0) + MATCH("In", OFFSET(D9,0,MATCH("Out",D9:U9,0),1,18-MATCH("Out",D9:U9,0)),0) + MATCH("Out", OFFSET(D9,0,MATCH("Out",D9:U9,0)+MATCH("In", OFFSET(D9,0,MATCH("Out",D9:U9,0),1,18-MATCH("Out",D9:U9,0)),0),1,18-(MATCH("Out",D9:U9,0)+MATCH("In", OFFSET(D9,0,MATCH("Out",D9:U9,0),1,18-MATCH("Out",D9:U9,0)),0))),0)))))</f>
        <v>9:00 AM - 5:00 PM</v>
      </c>
      <c r="W9" s="1" t="s">
        <v>44</v>
      </c>
      <c r="X9" s="7"/>
    </row>
    <row r="10" spans="1:27" ht="20.100000000000001" customHeight="1">
      <c r="A10" s="148"/>
      <c r="B10" s="24" t="s">
        <v>45</v>
      </c>
      <c r="C10" s="35" t="b">
        <v>0</v>
      </c>
      <c r="D10" s="22" t="s">
        <v>42</v>
      </c>
      <c r="E10" s="23"/>
      <c r="F10" s="22"/>
      <c r="G10" s="23"/>
      <c r="H10" s="22"/>
      <c r="I10" s="23"/>
      <c r="J10" s="22"/>
      <c r="K10" s="23" t="s">
        <v>43</v>
      </c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39" t="str" cm="1">
        <f t="array" aca="1" ref="V10" ca="1">IF(C10=TRUE, "OFF", IF(COUNTIF(D10:U10,"In")=0, "-", IF(COUNTIF(D10:U10,"In")=1, INDEX($D$3:$U$3, MATCH("In",D10:U10,0)) &amp; " - " &amp; INDEX($D$4:$U$4, MATCH("Out",D10:U10,0)), INDEX($D$3:$U$3, MATCH("In",D10:U10,0)) &amp; " - " &amp; INDEX($D$4:$U$4, MATCH("Out",D10:U10,0)) &amp; ", " &amp; INDEX($D$3:$U$3, MATCH("Out",D10:U10,0) + MATCH("In", OFFSET(D10,0,MATCH("Out",D10:U10,0),1,18-MATCH("Out",D10:U10,0)),0)) &amp; " - " &amp; INDEX($D$4:$U$4, MATCH("Out",D10:U10,0) + MATCH("In", OFFSET(D10,0,MATCH("Out",D10:U10,0),1,18-MATCH("Out",D10:U10,0)),0) + MATCH("Out", OFFSET(D10,0,MATCH("Out",D10:U10,0)+MATCH("In", OFFSET(D10,0,MATCH("Out",D10:U10,0),1,18-MATCH("Out",D10:U10,0)),0),1,18-(MATCH("Out",D10:U10,0)+MATCH("In", OFFSET(D10,0,MATCH("Out",D10:U10,0),1,18-MATCH("Out",D10:U10,0)),0))),0)))))</f>
        <v>8:00 AM - 12:00 PM</v>
      </c>
      <c r="W10" s="1" t="s">
        <v>44</v>
      </c>
      <c r="X10" s="7"/>
    </row>
    <row r="11" spans="1:27" ht="20.100000000000001" customHeight="1">
      <c r="A11" s="89" t="s">
        <v>46</v>
      </c>
      <c r="B11" s="18" t="s">
        <v>47</v>
      </c>
      <c r="C11" s="36" t="b">
        <v>0</v>
      </c>
      <c r="D11" s="30"/>
      <c r="E11" s="20"/>
      <c r="F11" s="19" t="s">
        <v>42</v>
      </c>
      <c r="G11" s="20"/>
      <c r="H11" s="19"/>
      <c r="I11" s="20"/>
      <c r="J11" s="19"/>
      <c r="K11" s="20"/>
      <c r="L11" s="19"/>
      <c r="M11" s="20" t="s">
        <v>43</v>
      </c>
      <c r="N11" s="19"/>
      <c r="O11" s="20"/>
      <c r="P11" s="19"/>
      <c r="Q11" s="20"/>
      <c r="R11" s="19"/>
      <c r="S11" s="20"/>
      <c r="T11" s="19"/>
      <c r="U11" s="20"/>
      <c r="V11" s="39" t="str" cm="1">
        <f t="array" aca="1" ref="V11" ca="1">IF(C11=TRUE, "OFF", IF(COUNTIF(D11:U11,"In")=0, "-", IF(COUNTIF(D11:U11,"In")=1, INDEX($D$3:$U$3, MATCH("In",D11:U11,0)) &amp; " - " &amp; INDEX($D$4:$U$4, MATCH("Out",D11:U11,0)), INDEX($D$3:$U$3, MATCH("In",D11:U11,0)) &amp; " - " &amp; INDEX($D$4:$U$4, MATCH("Out",D11:U11,0)) &amp; ", " &amp; INDEX($D$3:$U$3, MATCH("Out",D11:U11,0) + MATCH("In", OFFSET(D11,0,MATCH("Out",D11:U11,0),1,18-MATCH("Out",D11:U11,0)),0)) &amp; " - " &amp; INDEX($D$4:$U$4, MATCH("Out",D11:U11,0) + MATCH("In", OFFSET(D11,0,MATCH("Out",D11:U11,0),1,18-MATCH("Out",D11:U11,0)),0) + MATCH("Out", OFFSET(D11,0,MATCH("Out",D11:U11,0)+MATCH("In", OFFSET(D11,0,MATCH("Out",D11:U11,0),1,18-MATCH("Out",D11:U11,0)),0),1,18-(MATCH("Out",D11:U11,0)+MATCH("In", OFFSET(D11,0,MATCH("Out",D11:U11,0),1,18-MATCH("Out",D11:U11,0)),0))),0)))))</f>
        <v>9:00 AM - 1:00 PM</v>
      </c>
      <c r="W11" s="1" t="s">
        <v>44</v>
      </c>
      <c r="X11" s="7"/>
    </row>
    <row r="12" spans="1:27" ht="20.100000000000001" customHeight="1">
      <c r="A12" s="149"/>
      <c r="B12" s="13" t="s">
        <v>48</v>
      </c>
      <c r="C12" s="37" t="b">
        <v>0</v>
      </c>
      <c r="D12" s="31"/>
      <c r="E12" s="27"/>
      <c r="F12" s="19" t="s">
        <v>42</v>
      </c>
      <c r="G12" s="20"/>
      <c r="H12" s="19"/>
      <c r="I12" s="20"/>
      <c r="J12" s="19"/>
      <c r="K12" s="20"/>
      <c r="L12" s="19"/>
      <c r="M12" s="20" t="s">
        <v>43</v>
      </c>
      <c r="N12" s="26"/>
      <c r="O12" s="27"/>
      <c r="P12" s="26"/>
      <c r="Q12" s="27"/>
      <c r="R12" s="26"/>
      <c r="S12" s="27"/>
      <c r="T12" s="26"/>
      <c r="U12" s="27"/>
      <c r="V12" s="33" t="str" cm="1">
        <f t="array" aca="1" ref="V12" ca="1">IF(C12=TRUE, "OFF", IF(COUNTIF(D12:U12,"In")=0, "-", IF(COUNTIF(D12:U12,"In")=1, INDEX($D$3:$U$3, MATCH("In",D12:U12,0)) &amp; " - " &amp; INDEX($D$4:$U$4, MATCH("Out",D12:U12,0)), INDEX($D$3:$U$3, MATCH("In",D12:U12,0)) &amp; " - " &amp; INDEX($D$4:$U$4, MATCH("Out",D12:U12,0)) &amp; ", " &amp; INDEX($D$3:$U$3, MATCH("Out",D12:U12,0) + MATCH("In", OFFSET(D12,0,MATCH("Out",D12:U12,0),1,18-MATCH("Out",D12:U12,0)),0)) &amp; " - " &amp; INDEX($D$4:$U$4, MATCH("Out",D12:U12,0) + MATCH("In", OFFSET(D12,0,MATCH("Out",D12:U12,0),1,18-MATCH("Out",D12:U12,0)),0) + MATCH("Out", OFFSET(D12,0,MATCH("Out",D12:U12,0)+MATCH("In", OFFSET(D12,0,MATCH("Out",D12:U12,0),1,18-MATCH("Out",D12:U12,0)),0),1,18-(MATCH("Out",D12:U12,0)+MATCH("In", OFFSET(D12,0,MATCH("Out",D12:U12,0),1,18-MATCH("Out",D12:U12,0)),0))),0)))))</f>
        <v>9:00 AM - 1:00 PM</v>
      </c>
      <c r="W12" s="8" t="s">
        <v>44</v>
      </c>
      <c r="X12" s="9"/>
    </row>
    <row r="13" spans="1:27" ht="20.100000000000001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6"/>
    </row>
    <row r="14" spans="1:27" s="10" customFormat="1" ht="29.1" customHeight="1">
      <c r="A14" s="90" t="str">
        <f>"TUESDAY (" &amp; TEXT($AA$1+1, "d mmm") &amp; ")"</f>
        <v>TUESDAY (15 Sep)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1"/>
    </row>
    <row r="15" spans="1:27" ht="18" customHeight="1">
      <c r="A15" s="94" t="s">
        <v>25</v>
      </c>
      <c r="B15" s="95" t="s">
        <v>26</v>
      </c>
      <c r="C15" s="96" t="s">
        <v>27</v>
      </c>
      <c r="D15" s="98" t="s">
        <v>28</v>
      </c>
      <c r="E15" s="143"/>
      <c r="F15" s="99" t="s">
        <v>29</v>
      </c>
      <c r="G15" s="143"/>
      <c r="H15" s="99" t="s">
        <v>30</v>
      </c>
      <c r="I15" s="143"/>
      <c r="J15" s="99" t="s">
        <v>31</v>
      </c>
      <c r="K15" s="143"/>
      <c r="L15" s="91" t="s">
        <v>32</v>
      </c>
      <c r="M15" s="92"/>
      <c r="N15" s="91" t="s">
        <v>33</v>
      </c>
      <c r="O15" s="92"/>
      <c r="P15" s="91" t="s">
        <v>34</v>
      </c>
      <c r="Q15" s="92"/>
      <c r="R15" s="91" t="s">
        <v>35</v>
      </c>
      <c r="S15" s="92"/>
      <c r="T15" s="91" t="s">
        <v>36</v>
      </c>
      <c r="U15" s="92"/>
      <c r="V15" s="103" t="s">
        <v>37</v>
      </c>
      <c r="W15" s="104" t="s">
        <v>38</v>
      </c>
      <c r="X15" s="105" t="s">
        <v>39</v>
      </c>
    </row>
    <row r="16" spans="1:27" ht="15.95" customHeight="1">
      <c r="A16" s="144"/>
      <c r="B16" s="145"/>
      <c r="C16" s="97"/>
      <c r="D16" s="32">
        <v>0</v>
      </c>
      <c r="E16" s="15">
        <v>30</v>
      </c>
      <c r="F16" s="16">
        <v>0</v>
      </c>
      <c r="G16" s="17">
        <v>30</v>
      </c>
      <c r="H16" s="16">
        <v>0</v>
      </c>
      <c r="I16" s="17">
        <v>30</v>
      </c>
      <c r="J16" s="16">
        <v>0</v>
      </c>
      <c r="K16" s="17">
        <v>30</v>
      </c>
      <c r="L16" s="16">
        <v>0</v>
      </c>
      <c r="M16" s="17">
        <v>30</v>
      </c>
      <c r="N16" s="16">
        <v>0</v>
      </c>
      <c r="O16" s="17">
        <v>30</v>
      </c>
      <c r="P16" s="14">
        <v>0</v>
      </c>
      <c r="Q16" s="15">
        <v>30</v>
      </c>
      <c r="R16" s="14">
        <v>0</v>
      </c>
      <c r="S16" s="15">
        <v>30</v>
      </c>
      <c r="T16" s="14">
        <v>0</v>
      </c>
      <c r="U16" s="15">
        <v>30</v>
      </c>
      <c r="V16" s="146"/>
      <c r="W16" s="101"/>
      <c r="X16" s="147"/>
    </row>
    <row r="17" spans="1:24" ht="20.100000000000001" customHeight="1">
      <c r="A17" s="88" t="s">
        <v>40</v>
      </c>
      <c r="B17" s="21" t="s">
        <v>41</v>
      </c>
      <c r="C17" s="34" t="b">
        <v>0</v>
      </c>
      <c r="D17" s="28"/>
      <c r="E17" s="23"/>
      <c r="F17" s="22" t="s">
        <v>42</v>
      </c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 t="s">
        <v>43</v>
      </c>
      <c r="V17" s="38" t="str" cm="1">
        <f t="array" aca="1" ref="V17" ca="1">IF(C17=TRUE, "OFF", IF(COUNTIF(D17:U17,"In")=0, "-", IF(COUNTIF(D17:U17,"In")=1, INDEX($D$3:$U$3, MATCH("In",D17:U17,0)) &amp; " - " &amp; INDEX($D$4:$U$4, MATCH("Out",D17:U17,0)), INDEX($D$3:$U$3, MATCH("In",D17:U17,0)) &amp; " - " &amp; INDEX($D$4:$U$4, MATCH("Out",D17:U17,0)) &amp; ", " &amp; INDEX($D$3:$U$3, MATCH("Out",D17:U17,0) + MATCH("In", OFFSET(D17,0,MATCH("Out",D17:U17,0),1,18-MATCH("Out",D17:U17,0)),0)) &amp; " - " &amp; INDEX($D$4:$U$4, MATCH("Out",D17:U17,0) + MATCH("In", OFFSET(D17,0,MATCH("Out",D17:U17,0),1,18-MATCH("Out",D17:U17,0)),0) + MATCH("Out", OFFSET(D17,0,MATCH("Out",D17:U17,0)+MATCH("In", OFFSET(D17,0,MATCH("Out",D17:U17,0),1,18-MATCH("Out",D17:U17,0)),0),1,18-(MATCH("Out",D17:U17,0)+MATCH("In", OFFSET(D17,0,MATCH("Out",D17:U17,0),1,18-MATCH("Out",D17:U17,0)),0))),0)))))</f>
        <v>9:00 AM - 5:00 PM</v>
      </c>
      <c r="W17" s="1" t="s">
        <v>44</v>
      </c>
      <c r="X17" s="7"/>
    </row>
    <row r="18" spans="1:24" ht="20.100000000000001" customHeight="1">
      <c r="A18" s="148"/>
      <c r="B18" s="24" t="s">
        <v>45</v>
      </c>
      <c r="C18" s="35" t="b">
        <v>0</v>
      </c>
      <c r="D18" s="22" t="s">
        <v>42</v>
      </c>
      <c r="E18" s="23"/>
      <c r="F18" s="22"/>
      <c r="G18" s="23"/>
      <c r="H18" s="22"/>
      <c r="I18" s="23"/>
      <c r="J18" s="22"/>
      <c r="K18" s="23" t="s">
        <v>43</v>
      </c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39" t="str" cm="1">
        <f t="array" aca="1" ref="V18" ca="1">IF(C18=TRUE, "OFF", IF(COUNTIF(D18:U18,"In")=0, "-", IF(COUNTIF(D18:U18,"In")=1, INDEX($D$3:$U$3, MATCH("In",D18:U18,0)) &amp; " - " &amp; INDEX($D$4:$U$4, MATCH("Out",D18:U18,0)), INDEX($D$3:$U$3, MATCH("In",D18:U18,0)) &amp; " - " &amp; INDEX($D$4:$U$4, MATCH("Out",D18:U18,0)) &amp; ", " &amp; INDEX($D$3:$U$3, MATCH("Out",D18:U18,0) + MATCH("In", OFFSET(D18,0,MATCH("Out",D18:U18,0),1,18-MATCH("Out",D18:U18,0)),0)) &amp; " - " &amp; INDEX($D$4:$U$4, MATCH("Out",D18:U18,0) + MATCH("In", OFFSET(D18,0,MATCH("Out",D18:U18,0),1,18-MATCH("Out",D18:U18,0)),0) + MATCH("Out", OFFSET(D18,0,MATCH("Out",D18:U18,0)+MATCH("In", OFFSET(D18,0,MATCH("Out",D18:U18,0),1,18-MATCH("Out",D18:U18,0)),0),1,18-(MATCH("Out",D18:U18,0)+MATCH("In", OFFSET(D18,0,MATCH("Out",D18:U18,0),1,18-MATCH("Out",D18:U18,0)),0))),0)))))</f>
        <v>8:00 AM - 12:00 PM</v>
      </c>
      <c r="W18" s="1" t="s">
        <v>44</v>
      </c>
      <c r="X18" s="7"/>
    </row>
    <row r="19" spans="1:24" ht="20.100000000000001" customHeight="1">
      <c r="A19" s="89" t="s">
        <v>46</v>
      </c>
      <c r="B19" s="18" t="s">
        <v>47</v>
      </c>
      <c r="C19" s="36" t="b">
        <v>0</v>
      </c>
      <c r="D19" s="30"/>
      <c r="E19" s="20"/>
      <c r="F19" s="19" t="s">
        <v>42</v>
      </c>
      <c r="G19" s="20"/>
      <c r="H19" s="19"/>
      <c r="I19" s="20"/>
      <c r="J19" s="19"/>
      <c r="K19" s="20"/>
      <c r="L19" s="19"/>
      <c r="M19" s="20" t="s">
        <v>43</v>
      </c>
      <c r="N19" s="19"/>
      <c r="O19" s="20"/>
      <c r="P19" s="19"/>
      <c r="Q19" s="20"/>
      <c r="R19" s="19"/>
      <c r="S19" s="20"/>
      <c r="T19" s="19"/>
      <c r="U19" s="20"/>
      <c r="V19" s="39" t="str" cm="1">
        <f t="array" aca="1" ref="V19" ca="1">IF(C19=TRUE, "OFF", IF(COUNTIF(D19:U19,"In")=0, "-", IF(COUNTIF(D19:U19,"In")=1, INDEX($D$3:$U$3, MATCH("In",D19:U19,0)) &amp; " - " &amp; INDEX($D$4:$U$4, MATCH("Out",D19:U19,0)), INDEX($D$3:$U$3, MATCH("In",D19:U19,0)) &amp; " - " &amp; INDEX($D$4:$U$4, MATCH("Out",D19:U19,0)) &amp; ", " &amp; INDEX($D$3:$U$3, MATCH("Out",D19:U19,0) + MATCH("In", OFFSET(D19,0,MATCH("Out",D19:U19,0),1,18-MATCH("Out",D19:U19,0)),0)) &amp; " - " &amp; INDEX($D$4:$U$4, MATCH("Out",D19:U19,0) + MATCH("In", OFFSET(D19,0,MATCH("Out",D19:U19,0),1,18-MATCH("Out",D19:U19,0)),0) + MATCH("Out", OFFSET(D19,0,MATCH("Out",D19:U19,0)+MATCH("In", OFFSET(D19,0,MATCH("Out",D19:U19,0),1,18-MATCH("Out",D19:U19,0)),0),1,18-(MATCH("Out",D19:U19,0)+MATCH("In", OFFSET(D19,0,MATCH("Out",D19:U19,0),1,18-MATCH("Out",D19:U19,0)),0))),0)))))</f>
        <v>9:00 AM - 1:00 PM</v>
      </c>
      <c r="W19" s="1" t="s">
        <v>44</v>
      </c>
      <c r="X19" s="7"/>
    </row>
    <row r="20" spans="1:24" ht="20.100000000000001" customHeight="1">
      <c r="A20" s="149"/>
      <c r="B20" s="13" t="s">
        <v>48</v>
      </c>
      <c r="C20" s="37" t="b">
        <v>0</v>
      </c>
      <c r="D20" s="31"/>
      <c r="E20" s="27"/>
      <c r="F20" s="19" t="s">
        <v>42</v>
      </c>
      <c r="G20" s="20"/>
      <c r="H20" s="19"/>
      <c r="I20" s="20"/>
      <c r="J20" s="19"/>
      <c r="K20" s="20"/>
      <c r="L20" s="19"/>
      <c r="M20" s="20" t="s">
        <v>43</v>
      </c>
      <c r="N20" s="26"/>
      <c r="O20" s="27"/>
      <c r="P20" s="26"/>
      <c r="Q20" s="27"/>
      <c r="R20" s="26"/>
      <c r="S20" s="27"/>
      <c r="T20" s="26"/>
      <c r="U20" s="27"/>
      <c r="V20" s="33" t="str" cm="1">
        <f t="array" aca="1" ref="V20" ca="1">IF(C20=TRUE, "OFF", IF(COUNTIF(D20:U20,"In")=0, "-", IF(COUNTIF(D20:U20,"In")=1, INDEX($D$3:$U$3, MATCH("In",D20:U20,0)) &amp; " - " &amp; INDEX($D$4:$U$4, MATCH("Out",D20:U20,0)), INDEX($D$3:$U$3, MATCH("In",D20:U20,0)) &amp; " - " &amp; INDEX($D$4:$U$4, MATCH("Out",D20:U20,0)) &amp; ", " &amp; INDEX($D$3:$U$3, MATCH("Out",D20:U20,0) + MATCH("In", OFFSET(D20,0,MATCH("Out",D20:U20,0),1,18-MATCH("Out",D20:U20,0)),0)) &amp; " - " &amp; INDEX($D$4:$U$4, MATCH("Out",D20:U20,0) + MATCH("In", OFFSET(D20,0,MATCH("Out",D20:U20,0),1,18-MATCH("Out",D20:U20,0)),0) + MATCH("Out", OFFSET(D20,0,MATCH("Out",D20:U20,0)+MATCH("In", OFFSET(D20,0,MATCH("Out",D20:U20,0),1,18-MATCH("Out",D20:U20,0)),0),1,18-(MATCH("Out",D20:U20,0)+MATCH("In", OFFSET(D20,0,MATCH("Out",D20:U20,0),1,18-MATCH("Out",D20:U20,0)),0))),0)))))</f>
        <v>9:00 AM - 1:00 PM</v>
      </c>
      <c r="W20" s="8" t="s">
        <v>44</v>
      </c>
      <c r="X20" s="9"/>
    </row>
    <row r="21" spans="1:24" ht="20.100000000000001" customHeight="1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6"/>
    </row>
    <row r="22" spans="1:24" s="10" customFormat="1" ht="29.1" customHeight="1">
      <c r="A22" s="90" t="str">
        <f>"WEDNESDAY (" &amp; TEXT($AA$1+2, "d mmm") &amp; ")"</f>
        <v>WEDNESDAY (16 Sep)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1"/>
    </row>
    <row r="23" spans="1:24" ht="18" customHeight="1">
      <c r="A23" s="94" t="s">
        <v>25</v>
      </c>
      <c r="B23" s="95" t="s">
        <v>26</v>
      </c>
      <c r="C23" s="96" t="s">
        <v>27</v>
      </c>
      <c r="D23" s="98" t="s">
        <v>28</v>
      </c>
      <c r="E23" s="143"/>
      <c r="F23" s="99" t="s">
        <v>29</v>
      </c>
      <c r="G23" s="143"/>
      <c r="H23" s="99" t="s">
        <v>30</v>
      </c>
      <c r="I23" s="143"/>
      <c r="J23" s="99" t="s">
        <v>31</v>
      </c>
      <c r="K23" s="143"/>
      <c r="L23" s="91" t="s">
        <v>32</v>
      </c>
      <c r="M23" s="92"/>
      <c r="N23" s="91" t="s">
        <v>33</v>
      </c>
      <c r="O23" s="92"/>
      <c r="P23" s="91" t="s">
        <v>34</v>
      </c>
      <c r="Q23" s="92"/>
      <c r="R23" s="91" t="s">
        <v>35</v>
      </c>
      <c r="S23" s="92"/>
      <c r="T23" s="91" t="s">
        <v>36</v>
      </c>
      <c r="U23" s="92"/>
      <c r="V23" s="103" t="s">
        <v>37</v>
      </c>
      <c r="W23" s="104" t="s">
        <v>38</v>
      </c>
      <c r="X23" s="105" t="s">
        <v>39</v>
      </c>
    </row>
    <row r="24" spans="1:24" ht="15.95" customHeight="1">
      <c r="A24" s="144"/>
      <c r="B24" s="145"/>
      <c r="C24" s="97"/>
      <c r="D24" s="32">
        <v>0</v>
      </c>
      <c r="E24" s="15">
        <v>30</v>
      </c>
      <c r="F24" s="16">
        <v>0</v>
      </c>
      <c r="G24" s="17">
        <v>30</v>
      </c>
      <c r="H24" s="16">
        <v>0</v>
      </c>
      <c r="I24" s="17">
        <v>30</v>
      </c>
      <c r="J24" s="16">
        <v>0</v>
      </c>
      <c r="K24" s="17">
        <v>30</v>
      </c>
      <c r="L24" s="16">
        <v>0</v>
      </c>
      <c r="M24" s="17">
        <v>30</v>
      </c>
      <c r="N24" s="16">
        <v>0</v>
      </c>
      <c r="O24" s="17">
        <v>30</v>
      </c>
      <c r="P24" s="14">
        <v>0</v>
      </c>
      <c r="Q24" s="15">
        <v>30</v>
      </c>
      <c r="R24" s="14">
        <v>0</v>
      </c>
      <c r="S24" s="15">
        <v>30</v>
      </c>
      <c r="T24" s="14">
        <v>0</v>
      </c>
      <c r="U24" s="15">
        <v>30</v>
      </c>
      <c r="V24" s="146"/>
      <c r="W24" s="101"/>
      <c r="X24" s="147"/>
    </row>
    <row r="25" spans="1:24" ht="20.100000000000001" customHeight="1">
      <c r="A25" s="108" t="s">
        <v>40</v>
      </c>
      <c r="B25" s="21" t="s">
        <v>41</v>
      </c>
      <c r="C25" s="34" t="b">
        <v>0</v>
      </c>
      <c r="D25" s="28"/>
      <c r="E25" s="23"/>
      <c r="F25" s="22"/>
      <c r="G25" s="23"/>
      <c r="H25" s="22"/>
      <c r="I25" s="23"/>
      <c r="J25" s="22"/>
      <c r="K25" s="23"/>
      <c r="L25" s="22"/>
      <c r="M25" s="23"/>
      <c r="N25" s="22"/>
      <c r="O25" s="23"/>
      <c r="P25" s="22"/>
      <c r="Q25" s="23"/>
      <c r="R25" s="22"/>
      <c r="S25" s="23"/>
      <c r="T25" s="22"/>
      <c r="U25" s="23"/>
      <c r="V25" s="38" t="str" cm="1">
        <f t="array" aca="1" ref="V25" ca="1">IF(C25=TRUE, "OFF", IF(COUNTIF(D25:U25,"In")=0, "-", IF(COUNTIF(D25:U25,"In")=1, INDEX($D$3:$U$3, MATCH("In",D25:U25,0)) &amp; " - " &amp; INDEX($D$4:$U$4, MATCH("Out",D25:U25,0)), INDEX($D$3:$U$3, MATCH("In",D25:U25,0)) &amp; " - " &amp; INDEX($D$4:$U$4, MATCH("Out",D25:U25,0)) &amp; ", " &amp; INDEX($D$3:$U$3, MATCH("Out",D25:U25,0) + MATCH("In", OFFSET(D25,0,MATCH("Out",D25:U25,0),1,18-MATCH("Out",D25:U25,0)),0)) &amp; " - " &amp; INDEX($D$4:$U$4, MATCH("Out",D25:U25,0) + MATCH("In", OFFSET(D25,0,MATCH("Out",D25:U25,0),1,18-MATCH("Out",D25:U25,0)),0) + MATCH("Out", OFFSET(D25,0,MATCH("Out",D25:U25,0)+MATCH("In", OFFSET(D25,0,MATCH("Out",D25:U25,0),1,18-MATCH("Out",D25:U25,0)),0),1,18-(MATCH("Out",D25:U25,0)+MATCH("In", OFFSET(D25,0,MATCH("Out",D25:U25,0),1,18-MATCH("Out",D25:U25,0)),0))),0)))))</f>
        <v>-</v>
      </c>
      <c r="W25" s="1" t="s">
        <v>44</v>
      </c>
      <c r="X25" s="7"/>
    </row>
    <row r="26" spans="1:24" ht="20.100000000000001" customHeight="1">
      <c r="A26" s="109"/>
      <c r="B26" s="24" t="s">
        <v>45</v>
      </c>
      <c r="C26" s="35" t="b">
        <v>0</v>
      </c>
      <c r="D26" s="22" t="s">
        <v>42</v>
      </c>
      <c r="E26" s="23"/>
      <c r="F26" s="22"/>
      <c r="G26" s="23"/>
      <c r="H26" s="22"/>
      <c r="I26" s="23"/>
      <c r="J26" s="22"/>
      <c r="K26" s="23" t="s">
        <v>43</v>
      </c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39" t="str" cm="1">
        <f t="array" aca="1" ref="V26" ca="1">IF(C26=TRUE, "OFF", IF(COUNTIF(D26:U26,"In")=0, "-", IF(COUNTIF(D26:U26,"In")=1, INDEX($D$3:$U$3, MATCH("In",D26:U26,0)) &amp; " - " &amp; INDEX($D$4:$U$4, MATCH("Out",D26:U26,0)), INDEX($D$3:$U$3, MATCH("In",D26:U26,0)) &amp; " - " &amp; INDEX($D$4:$U$4, MATCH("Out",D26:U26,0)) &amp; ", " &amp; INDEX($D$3:$U$3, MATCH("Out",D26:U26,0) + MATCH("In", OFFSET(D26,0,MATCH("Out",D26:U26,0),1,18-MATCH("Out",D26:U26,0)),0)) &amp; " - " &amp; INDEX($D$4:$U$4, MATCH("Out",D26:U26,0) + MATCH("In", OFFSET(D26,0,MATCH("Out",D26:U26,0),1,18-MATCH("Out",D26:U26,0)),0) + MATCH("Out", OFFSET(D26,0,MATCH("Out",D26:U26,0)+MATCH("In", OFFSET(D26,0,MATCH("Out",D26:U26,0),1,18-MATCH("Out",D26:U26,0)),0),1,18-(MATCH("Out",D26:U26,0)+MATCH("In", OFFSET(D26,0,MATCH("Out",D26:U26,0),1,18-MATCH("Out",D26:U26,0)),0))),0)))))</f>
        <v>8:00 AM - 12:00 PM</v>
      </c>
      <c r="W26" s="1" t="s">
        <v>44</v>
      </c>
      <c r="X26" s="7"/>
    </row>
    <row r="27" spans="1:24">
      <c r="A27" s="89" t="s">
        <v>46</v>
      </c>
      <c r="B27" s="18" t="s">
        <v>47</v>
      </c>
      <c r="C27" s="36" t="b">
        <v>0</v>
      </c>
      <c r="D27" s="30"/>
      <c r="E27" s="20"/>
      <c r="F27" s="19" t="s">
        <v>42</v>
      </c>
      <c r="G27" s="20"/>
      <c r="H27" s="19"/>
      <c r="I27" s="20"/>
      <c r="J27" s="19"/>
      <c r="K27" s="20"/>
      <c r="L27" s="19"/>
      <c r="M27" s="20" t="s">
        <v>43</v>
      </c>
      <c r="N27" s="19"/>
      <c r="O27" s="20"/>
      <c r="P27" s="19"/>
      <c r="Q27" s="20"/>
      <c r="R27" s="19"/>
      <c r="S27" s="20"/>
      <c r="T27" s="19"/>
      <c r="U27" s="20"/>
      <c r="V27" s="39" t="str" cm="1">
        <f t="array" aca="1" ref="V27" ca="1">IF(C27=TRUE, "OFF", IF(COUNTIF(D27:U27,"In")=0, "-", IF(COUNTIF(D27:U27,"In")=1, INDEX($D$3:$U$3, MATCH("In",D27:U27,0)) &amp; " - " &amp; INDEX($D$4:$U$4, MATCH("Out",D27:U27,0)), INDEX($D$3:$U$3, MATCH("In",D27:U27,0)) &amp; " - " &amp; INDEX($D$4:$U$4, MATCH("Out",D27:U27,0)) &amp; ", " &amp; INDEX($D$3:$U$3, MATCH("Out",D27:U27,0) + MATCH("In", OFFSET(D27,0,MATCH("Out",D27:U27,0),1,18-MATCH("Out",D27:U27,0)),0)) &amp; " - " &amp; INDEX($D$4:$U$4, MATCH("Out",D27:U27,0) + MATCH("In", OFFSET(D27,0,MATCH("Out",D27:U27,0),1,18-MATCH("Out",D27:U27,0)),0) + MATCH("Out", OFFSET(D27,0,MATCH("Out",D27:U27,0)+MATCH("In", OFFSET(D27,0,MATCH("Out",D27:U27,0),1,18-MATCH("Out",D27:U27,0)),0),1,18-(MATCH("Out",D27:U27,0)+MATCH("In", OFFSET(D27,0,MATCH("Out",D27:U27,0),1,18-MATCH("Out",D27:U27,0)),0))),0)))))</f>
        <v>9:00 AM - 1:00 PM</v>
      </c>
      <c r="W27" s="1" t="s">
        <v>44</v>
      </c>
      <c r="X27" s="7"/>
    </row>
    <row r="28" spans="1:24">
      <c r="A28" s="149"/>
      <c r="B28" s="13" t="s">
        <v>48</v>
      </c>
      <c r="C28" s="37" t="b">
        <v>0</v>
      </c>
      <c r="D28" s="31"/>
      <c r="E28" s="27"/>
      <c r="F28" s="19" t="s">
        <v>42</v>
      </c>
      <c r="G28" s="20"/>
      <c r="H28" s="19"/>
      <c r="I28" s="20"/>
      <c r="J28" s="19"/>
      <c r="K28" s="20"/>
      <c r="L28" s="19"/>
      <c r="M28" s="20" t="s">
        <v>43</v>
      </c>
      <c r="N28" s="26"/>
      <c r="O28" s="27"/>
      <c r="P28" s="26"/>
      <c r="Q28" s="27"/>
      <c r="R28" s="26"/>
      <c r="S28" s="27"/>
      <c r="T28" s="26"/>
      <c r="U28" s="27"/>
      <c r="V28" s="33" t="str" cm="1">
        <f t="array" aca="1" ref="V28" ca="1">IF(C28=TRUE, "OFF", IF(COUNTIF(D28:U28,"In")=0, "-", IF(COUNTIF(D28:U28,"In")=1, INDEX($D$3:$U$3, MATCH("In",D28:U28,0)) &amp; " - " &amp; INDEX($D$4:$U$4, MATCH("Out",D28:U28,0)), INDEX($D$3:$U$3, MATCH("In",D28:U28,0)) &amp; " - " &amp; INDEX($D$4:$U$4, MATCH("Out",D28:U28,0)) &amp; ", " &amp; INDEX($D$3:$U$3, MATCH("Out",D28:U28,0) + MATCH("In", OFFSET(D28,0,MATCH("Out",D28:U28,0),1,18-MATCH("Out",D28:U28,0)),0)) &amp; " - " &amp; INDEX($D$4:$U$4, MATCH("Out",D28:U28,0) + MATCH("In", OFFSET(D28,0,MATCH("Out",D28:U28,0),1,18-MATCH("Out",D28:U28,0)),0) + MATCH("Out", OFFSET(D28,0,MATCH("Out",D28:U28,0)+MATCH("In", OFFSET(D28,0,MATCH("Out",D28:U28,0),1,18-MATCH("Out",D28:U28,0)),0),1,18-(MATCH("Out",D28:U28,0)+MATCH("In", OFFSET(D28,0,MATCH("Out",D28:U28,0),1,18-MATCH("Out",D28:U28,0)),0))),0)))))</f>
        <v>9:00 AM - 1:00 PM</v>
      </c>
      <c r="W28" s="8" t="s">
        <v>44</v>
      </c>
      <c r="X28" s="9"/>
    </row>
    <row r="29" spans="1:24" ht="20.100000000000001" customHeight="1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6"/>
    </row>
    <row r="30" spans="1:24" s="10" customFormat="1" ht="29.1" customHeight="1">
      <c r="A30" s="90" t="str">
        <f>"THURSDAY (" &amp; TEXT($AA$1+3, "d mmm") &amp; ")"</f>
        <v>THURSDAY (17 Sep)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1"/>
    </row>
    <row r="31" spans="1:24" ht="18" customHeight="1">
      <c r="A31" s="94" t="s">
        <v>25</v>
      </c>
      <c r="B31" s="95" t="s">
        <v>26</v>
      </c>
      <c r="C31" s="96" t="s">
        <v>27</v>
      </c>
      <c r="D31" s="98" t="s">
        <v>28</v>
      </c>
      <c r="E31" s="143"/>
      <c r="F31" s="99" t="s">
        <v>29</v>
      </c>
      <c r="G31" s="143"/>
      <c r="H31" s="99" t="s">
        <v>30</v>
      </c>
      <c r="I31" s="143"/>
      <c r="J31" s="99" t="s">
        <v>31</v>
      </c>
      <c r="K31" s="143"/>
      <c r="L31" s="91" t="s">
        <v>32</v>
      </c>
      <c r="M31" s="92"/>
      <c r="N31" s="91" t="s">
        <v>33</v>
      </c>
      <c r="O31" s="92"/>
      <c r="P31" s="91" t="s">
        <v>34</v>
      </c>
      <c r="Q31" s="92"/>
      <c r="R31" s="91" t="s">
        <v>35</v>
      </c>
      <c r="S31" s="92"/>
      <c r="T31" s="91" t="s">
        <v>36</v>
      </c>
      <c r="U31" s="92"/>
      <c r="V31" s="103" t="s">
        <v>37</v>
      </c>
      <c r="W31" s="104" t="s">
        <v>38</v>
      </c>
      <c r="X31" s="105" t="s">
        <v>39</v>
      </c>
    </row>
    <row r="32" spans="1:24" ht="15.95" customHeight="1">
      <c r="A32" s="144"/>
      <c r="B32" s="145"/>
      <c r="C32" s="97"/>
      <c r="D32" s="32">
        <v>0</v>
      </c>
      <c r="E32" s="15">
        <v>30</v>
      </c>
      <c r="F32" s="16">
        <v>0</v>
      </c>
      <c r="G32" s="17">
        <v>30</v>
      </c>
      <c r="H32" s="16">
        <v>0</v>
      </c>
      <c r="I32" s="17">
        <v>30</v>
      </c>
      <c r="J32" s="16">
        <v>0</v>
      </c>
      <c r="K32" s="17">
        <v>30</v>
      </c>
      <c r="L32" s="16">
        <v>0</v>
      </c>
      <c r="M32" s="17">
        <v>30</v>
      </c>
      <c r="N32" s="16">
        <v>0</v>
      </c>
      <c r="O32" s="17">
        <v>30</v>
      </c>
      <c r="P32" s="14">
        <v>0</v>
      </c>
      <c r="Q32" s="15">
        <v>30</v>
      </c>
      <c r="R32" s="14">
        <v>0</v>
      </c>
      <c r="S32" s="15">
        <v>30</v>
      </c>
      <c r="T32" s="14">
        <v>0</v>
      </c>
      <c r="U32" s="15">
        <v>30</v>
      </c>
      <c r="V32" s="146"/>
      <c r="W32" s="101"/>
      <c r="X32" s="147"/>
    </row>
    <row r="33" spans="1:24" ht="20.100000000000001" customHeight="1">
      <c r="A33" s="88" t="s">
        <v>40</v>
      </c>
      <c r="B33" s="21" t="s">
        <v>41</v>
      </c>
      <c r="C33" s="34" t="b">
        <v>0</v>
      </c>
      <c r="D33" s="28"/>
      <c r="E33" s="23"/>
      <c r="F33" s="22"/>
      <c r="G33" s="23"/>
      <c r="H33" s="22"/>
      <c r="I33" s="23"/>
      <c r="J33" s="22"/>
      <c r="K33" s="23"/>
      <c r="L33" s="22"/>
      <c r="M33" s="23"/>
      <c r="N33" s="22"/>
      <c r="O33" s="23"/>
      <c r="P33" s="22"/>
      <c r="Q33" s="23"/>
      <c r="R33" s="22"/>
      <c r="S33" s="23"/>
      <c r="T33" s="22"/>
      <c r="U33" s="23"/>
      <c r="V33" s="38" t="str" cm="1">
        <f t="array" aca="1" ref="V33" ca="1">IF(C33=TRUE, "OFF", IF(COUNTIF(D33:U33,"In")=0, "-", IF(COUNTIF(D33:U33,"In")=1, INDEX($D$3:$U$3, MATCH("In",D33:U33,0)) &amp; " - " &amp; INDEX($D$4:$U$4, MATCH("Out",D33:U33,0)), INDEX($D$3:$U$3, MATCH("In",D33:U33,0)) &amp; " - " &amp; INDEX($D$4:$U$4, MATCH("Out",D33:U33,0)) &amp; ", " &amp; INDEX($D$3:$U$3, MATCH("Out",D33:U33,0) + MATCH("In", OFFSET(D33,0,MATCH("Out",D33:U33,0),1,18-MATCH("Out",D33:U33,0)),0)) &amp; " - " &amp; INDEX($D$4:$U$4, MATCH("Out",D33:U33,0) + MATCH("In", OFFSET(D33,0,MATCH("Out",D33:U33,0),1,18-MATCH("Out",D33:U33,0)),0) + MATCH("Out", OFFSET(D33,0,MATCH("Out",D33:U33,0)+MATCH("In", OFFSET(D33,0,MATCH("Out",D33:U33,0),1,18-MATCH("Out",D33:U33,0)),0),1,18-(MATCH("Out",D33:U33,0)+MATCH("In", OFFSET(D33,0,MATCH("Out",D33:U33,0),1,18-MATCH("Out",D33:U33,0)),0))),0)))))</f>
        <v>-</v>
      </c>
      <c r="W33" s="1" t="s">
        <v>44</v>
      </c>
      <c r="X33" s="7"/>
    </row>
    <row r="34" spans="1:24">
      <c r="A34" s="148"/>
      <c r="B34" s="24" t="s">
        <v>45</v>
      </c>
      <c r="C34" s="35" t="b">
        <v>0</v>
      </c>
      <c r="D34" s="22" t="s">
        <v>42</v>
      </c>
      <c r="E34" s="23"/>
      <c r="F34" s="22"/>
      <c r="G34" s="23"/>
      <c r="H34" s="22"/>
      <c r="I34" s="23"/>
      <c r="J34" s="22"/>
      <c r="K34" s="23" t="s">
        <v>43</v>
      </c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39" t="str" cm="1">
        <f t="array" aca="1" ref="V34" ca="1">IF(C34=TRUE, "OFF", IF(COUNTIF(D34:U34,"In")=0, "-", IF(COUNTIF(D34:U34,"In")=1, INDEX($D$3:$U$3, MATCH("In",D34:U34,0)) &amp; " - " &amp; INDEX($D$4:$U$4, MATCH("Out",D34:U34,0)), INDEX($D$3:$U$3, MATCH("In",D34:U34,0)) &amp; " - " &amp; INDEX($D$4:$U$4, MATCH("Out",D34:U34,0)) &amp; ", " &amp; INDEX($D$3:$U$3, MATCH("Out",D34:U34,0) + MATCH("In", OFFSET(D34,0,MATCH("Out",D34:U34,0),1,18-MATCH("Out",D34:U34,0)),0)) &amp; " - " &amp; INDEX($D$4:$U$4, MATCH("Out",D34:U34,0) + MATCH("In", OFFSET(D34,0,MATCH("Out",D34:U34,0),1,18-MATCH("Out",D34:U34,0)),0) + MATCH("Out", OFFSET(D34,0,MATCH("Out",D34:U34,0)+MATCH("In", OFFSET(D34,0,MATCH("Out",D34:U34,0),1,18-MATCH("Out",D34:U34,0)),0),1,18-(MATCH("Out",D34:U34,0)+MATCH("In", OFFSET(D34,0,MATCH("Out",D34:U34,0),1,18-MATCH("Out",D34:U34,0)),0))),0)))))</f>
        <v>8:00 AM - 12:00 PM</v>
      </c>
      <c r="W34" s="1" t="s">
        <v>44</v>
      </c>
      <c r="X34" s="7"/>
    </row>
    <row r="35" spans="1:24">
      <c r="A35" s="89" t="s">
        <v>46</v>
      </c>
      <c r="B35" s="18" t="s">
        <v>47</v>
      </c>
      <c r="C35" s="36" t="b">
        <v>0</v>
      </c>
      <c r="D35" s="30"/>
      <c r="E35" s="20"/>
      <c r="F35" s="19" t="s">
        <v>42</v>
      </c>
      <c r="G35" s="20"/>
      <c r="H35" s="19"/>
      <c r="I35" s="20"/>
      <c r="J35" s="19"/>
      <c r="K35" s="20"/>
      <c r="L35" s="19"/>
      <c r="M35" s="20" t="s">
        <v>43</v>
      </c>
      <c r="N35" s="19"/>
      <c r="O35" s="20"/>
      <c r="P35" s="19"/>
      <c r="Q35" s="20"/>
      <c r="R35" s="19"/>
      <c r="S35" s="20"/>
      <c r="T35" s="19"/>
      <c r="U35" s="20"/>
      <c r="V35" s="39" t="str" cm="1">
        <f t="array" aca="1" ref="V35" ca="1">IF(C35=TRUE, "OFF", IF(COUNTIF(D35:U35,"In")=0, "-", IF(COUNTIF(D35:U35,"In")=1, INDEX($D$3:$U$3, MATCH("In",D35:U35,0)) &amp; " - " &amp; INDEX($D$4:$U$4, MATCH("Out",D35:U35,0)), INDEX($D$3:$U$3, MATCH("In",D35:U35,0)) &amp; " - " &amp; INDEX($D$4:$U$4, MATCH("Out",D35:U35,0)) &amp; ", " &amp; INDEX($D$3:$U$3, MATCH("Out",D35:U35,0) + MATCH("In", OFFSET(D35,0,MATCH("Out",D35:U35,0),1,18-MATCH("Out",D35:U35,0)),0)) &amp; " - " &amp; INDEX($D$4:$U$4, MATCH("Out",D35:U35,0) + MATCH("In", OFFSET(D35,0,MATCH("Out",D35:U35,0),1,18-MATCH("Out",D35:U35,0)),0) + MATCH("Out", OFFSET(D35,0,MATCH("Out",D35:U35,0)+MATCH("In", OFFSET(D35,0,MATCH("Out",D35:U35,0),1,18-MATCH("Out",D35:U35,0)),0),1,18-(MATCH("Out",D35:U35,0)+MATCH("In", OFFSET(D35,0,MATCH("Out",D35:U35,0),1,18-MATCH("Out",D35:U35,0)),0))),0)))))</f>
        <v>9:00 AM - 1:00 PM</v>
      </c>
      <c r="W35" s="25" t="s">
        <v>44</v>
      </c>
      <c r="X35" s="7"/>
    </row>
    <row r="36" spans="1:24" ht="20.100000000000001" customHeight="1">
      <c r="A36" s="149"/>
      <c r="B36" s="13" t="s">
        <v>48</v>
      </c>
      <c r="C36" s="37" t="b">
        <v>1</v>
      </c>
      <c r="D36" s="31"/>
      <c r="E36" s="27"/>
      <c r="F36" s="19"/>
      <c r="G36" s="20"/>
      <c r="H36" s="19"/>
      <c r="I36" s="20"/>
      <c r="J36" s="19"/>
      <c r="K36" s="20"/>
      <c r="L36" s="19"/>
      <c r="M36" s="20"/>
      <c r="N36" s="26"/>
      <c r="O36" s="27"/>
      <c r="P36" s="26"/>
      <c r="Q36" s="27"/>
      <c r="R36" s="26"/>
      <c r="S36" s="27"/>
      <c r="T36" s="26"/>
      <c r="U36" s="27"/>
      <c r="V36" s="33" t="str" cm="1">
        <f t="array" aca="1" ref="V36" ca="1">IF(C36=TRUE, "OFF", IF(COUNTIF(D36:U36,"In")=0, "-", IF(COUNTIF(D36:U36,"In")=1, INDEX($D$3:$U$3, MATCH("In",D36:U36,0)) &amp; " - " &amp; INDEX($D$4:$U$4, MATCH("Out",D36:U36,0)), INDEX($D$3:$U$3, MATCH("In",D36:U36,0)) &amp; " - " &amp; INDEX($D$4:$U$4, MATCH("Out",D36:U36,0)) &amp; ", " &amp; INDEX($D$3:$U$3, MATCH("Out",D36:U36,0) + MATCH("In", OFFSET(D36,0,MATCH("Out",D36:U36,0),1,18-MATCH("Out",D36:U36,0)),0)) &amp; " - " &amp; INDEX($D$4:$U$4, MATCH("Out",D36:U36,0) + MATCH("In", OFFSET(D36,0,MATCH("Out",D36:U36,0),1,18-MATCH("Out",D36:U36,0)),0) + MATCH("Out", OFFSET(D36,0,MATCH("Out",D36:U36,0)+MATCH("In", OFFSET(D36,0,MATCH("Out",D36:U36,0),1,18-MATCH("Out",D36:U36,0)),0),1,18-(MATCH("Out",D36:U36,0)+MATCH("In", OFFSET(D36,0,MATCH("Out",D36:U36,0),1,18-MATCH("Out",D36:U36,0)),0))),0)))))</f>
        <v>OFF</v>
      </c>
      <c r="W36" s="8" t="s">
        <v>44</v>
      </c>
      <c r="X36" s="9"/>
    </row>
    <row r="37" spans="1:24" ht="20.100000000000001" customHeigh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s="10" customFormat="1" ht="29.1" customHeight="1">
      <c r="A38" s="90" t="str">
        <f>"FRIDAY (" &amp; TEXT($AA$1+4, "d mmm") &amp; ")"</f>
        <v>FRIDAY (18 Sep)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</row>
    <row r="39" spans="1:24">
      <c r="A39" s="94" t="s">
        <v>25</v>
      </c>
      <c r="B39" s="95" t="s">
        <v>26</v>
      </c>
      <c r="C39" s="96" t="s">
        <v>27</v>
      </c>
      <c r="D39" s="98" t="s">
        <v>28</v>
      </c>
      <c r="E39" s="143"/>
      <c r="F39" s="99" t="s">
        <v>29</v>
      </c>
      <c r="G39" s="143"/>
      <c r="H39" s="99" t="s">
        <v>30</v>
      </c>
      <c r="I39" s="143"/>
      <c r="J39" s="99" t="s">
        <v>31</v>
      </c>
      <c r="K39" s="143"/>
      <c r="L39" s="91" t="s">
        <v>32</v>
      </c>
      <c r="M39" s="92"/>
      <c r="N39" s="91" t="s">
        <v>33</v>
      </c>
      <c r="O39" s="92"/>
      <c r="P39" s="91" t="s">
        <v>34</v>
      </c>
      <c r="Q39" s="92"/>
      <c r="R39" s="91" t="s">
        <v>35</v>
      </c>
      <c r="S39" s="92"/>
      <c r="T39" s="91" t="s">
        <v>36</v>
      </c>
      <c r="U39" s="92"/>
      <c r="V39" s="103" t="s">
        <v>37</v>
      </c>
      <c r="W39" s="104" t="s">
        <v>38</v>
      </c>
      <c r="X39" s="105" t="s">
        <v>39</v>
      </c>
    </row>
    <row r="40" spans="1:24" ht="15.95" customHeight="1">
      <c r="A40" s="144"/>
      <c r="B40" s="145"/>
      <c r="C40" s="97"/>
      <c r="D40" s="32">
        <v>0</v>
      </c>
      <c r="E40" s="15">
        <v>30</v>
      </c>
      <c r="F40" s="16">
        <v>0</v>
      </c>
      <c r="G40" s="17">
        <v>30</v>
      </c>
      <c r="H40" s="16">
        <v>0</v>
      </c>
      <c r="I40" s="17">
        <v>30</v>
      </c>
      <c r="J40" s="16">
        <v>0</v>
      </c>
      <c r="K40" s="17">
        <v>30</v>
      </c>
      <c r="L40" s="16">
        <v>0</v>
      </c>
      <c r="M40" s="17">
        <v>30</v>
      </c>
      <c r="N40" s="16">
        <v>0</v>
      </c>
      <c r="O40" s="17">
        <v>30</v>
      </c>
      <c r="P40" s="14">
        <v>0</v>
      </c>
      <c r="Q40" s="15">
        <v>30</v>
      </c>
      <c r="R40" s="14">
        <v>0</v>
      </c>
      <c r="S40" s="15">
        <v>30</v>
      </c>
      <c r="T40" s="14">
        <v>0</v>
      </c>
      <c r="U40" s="15">
        <v>30</v>
      </c>
      <c r="V40" s="146"/>
      <c r="W40" s="101"/>
      <c r="X40" s="147"/>
    </row>
    <row r="41" spans="1:24" ht="20.100000000000001" customHeight="1">
      <c r="A41" s="88" t="s">
        <v>40</v>
      </c>
      <c r="B41" s="21" t="s">
        <v>41</v>
      </c>
      <c r="C41" s="34" t="b">
        <v>0</v>
      </c>
      <c r="D41" s="28"/>
      <c r="E41" s="23"/>
      <c r="F41" s="22"/>
      <c r="G41" s="23"/>
      <c r="H41" s="22"/>
      <c r="I41" s="23"/>
      <c r="J41" s="22"/>
      <c r="K41" s="23"/>
      <c r="L41" s="22"/>
      <c r="M41" s="23"/>
      <c r="N41" s="22"/>
      <c r="O41" s="23"/>
      <c r="P41" s="22"/>
      <c r="Q41" s="23"/>
      <c r="R41" s="22" t="s">
        <v>42</v>
      </c>
      <c r="S41" s="23"/>
      <c r="T41" s="22"/>
      <c r="U41" s="23" t="s">
        <v>43</v>
      </c>
      <c r="V41" s="38" t="str" cm="1">
        <f t="array" aca="1" ref="V41" ca="1">IF(C41=TRUE, "OFF", IF(COUNTIF(D41:U41,"In")=0, "-", IF(COUNTIF(D41:U41,"In")=1, INDEX($D$3:$U$3, MATCH("In",D41:U41,0)) &amp; " - " &amp; INDEX($D$4:$U$4, MATCH("Out",D41:U41,0)), INDEX($D$3:$U$3, MATCH("In",D41:U41,0)) &amp; " - " &amp; INDEX($D$4:$U$4, MATCH("Out",D41:U41,0)) &amp; ", " &amp; INDEX($D$3:$U$3, MATCH("Out",D41:U41,0) + MATCH("In", OFFSET(D41,0,MATCH("Out",D41:U41,0),1,18-MATCH("Out",D41:U41,0)),0)) &amp; " - " &amp; INDEX($D$4:$U$4, MATCH("Out",D41:U41,0) + MATCH("In", OFFSET(D41,0,MATCH("Out",D41:U41,0),1,18-MATCH("Out",D41:U41,0)),0) + MATCH("Out", OFFSET(D41,0,MATCH("Out",D41:U41,0)+MATCH("In", OFFSET(D41,0,MATCH("Out",D41:U41,0),1,18-MATCH("Out",D41:U41,0)),0),1,18-(MATCH("Out",D41:U41,0)+MATCH("In", OFFSET(D41,0,MATCH("Out",D41:U41,0),1,18-MATCH("Out",D41:U41,0)),0))),0)))))</f>
        <v>3:00 PM - 5:00 PM</v>
      </c>
      <c r="W41" s="1" t="s">
        <v>44</v>
      </c>
      <c r="X41" s="7"/>
    </row>
    <row r="42" spans="1:24" ht="20.100000000000001" customHeight="1">
      <c r="A42" s="148"/>
      <c r="B42" s="24" t="s">
        <v>45</v>
      </c>
      <c r="C42" s="35" t="b">
        <v>0</v>
      </c>
      <c r="D42" s="22" t="s">
        <v>42</v>
      </c>
      <c r="E42" s="23"/>
      <c r="F42" s="22"/>
      <c r="G42" s="23"/>
      <c r="H42" s="22"/>
      <c r="I42" s="23"/>
      <c r="J42" s="22"/>
      <c r="K42" s="23" t="s">
        <v>43</v>
      </c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39" t="str" cm="1">
        <f t="array" aca="1" ref="V42" ca="1">IF(C42=TRUE, "OFF", IF(COUNTIF(D42:U42,"In")=0, "-", IF(COUNTIF(D42:U42,"In")=1, INDEX($D$3:$U$3, MATCH("In",D42:U42,0)) &amp; " - " &amp; INDEX($D$4:$U$4, MATCH("Out",D42:U42,0)), INDEX($D$3:$U$3, MATCH("In",D42:U42,0)) &amp; " - " &amp; INDEX($D$4:$U$4, MATCH("Out",D42:U42,0)) &amp; ", " &amp; INDEX($D$3:$U$3, MATCH("Out",D42:U42,0) + MATCH("In", OFFSET(D42,0,MATCH("Out",D42:U42,0),1,18-MATCH("Out",D42:U42,0)),0)) &amp; " - " &amp; INDEX($D$4:$U$4, MATCH("Out",D42:U42,0) + MATCH("In", OFFSET(D42,0,MATCH("Out",D42:U42,0),1,18-MATCH("Out",D42:U42,0)),0) + MATCH("Out", OFFSET(D42,0,MATCH("Out",D42:U42,0)+MATCH("In", OFFSET(D42,0,MATCH("Out",D42:U42,0),1,18-MATCH("Out",D42:U42,0)),0),1,18-(MATCH("Out",D42:U42,0)+MATCH("In", OFFSET(D42,0,MATCH("Out",D42:U42,0),1,18-MATCH("Out",D42:U42,0)),0))),0)))))</f>
        <v>8:00 AM - 12:00 PM</v>
      </c>
      <c r="W42" s="1" t="s">
        <v>44</v>
      </c>
      <c r="X42" s="7"/>
    </row>
    <row r="43" spans="1:24" ht="20.100000000000001" customHeight="1">
      <c r="A43" s="89" t="s">
        <v>46</v>
      </c>
      <c r="B43" s="18" t="s">
        <v>47</v>
      </c>
      <c r="C43" s="36" t="b">
        <v>1</v>
      </c>
      <c r="D43" s="30"/>
      <c r="E43" s="20"/>
      <c r="F43" s="19"/>
      <c r="G43" s="20"/>
      <c r="H43" s="19"/>
      <c r="I43" s="20"/>
      <c r="J43" s="19"/>
      <c r="K43" s="20"/>
      <c r="L43" s="19"/>
      <c r="M43" s="20"/>
      <c r="N43" s="19"/>
      <c r="O43" s="20"/>
      <c r="P43" s="19"/>
      <c r="Q43" s="20"/>
      <c r="R43" s="19"/>
      <c r="S43" s="20"/>
      <c r="T43" s="19"/>
      <c r="U43" s="20"/>
      <c r="V43" s="39" t="str" cm="1">
        <f t="array" aca="1" ref="V43" ca="1">IF(C43=TRUE, "OFF", IF(COUNTIF(D43:U43,"In")=0, "-", IF(COUNTIF(D43:U43,"In")=1, INDEX($D$3:$U$3, MATCH("In",D43:U43,0)) &amp; " - " &amp; INDEX($D$4:$U$4, MATCH("Out",D43:U43,0)), INDEX($D$3:$U$3, MATCH("In",D43:U43,0)) &amp; " - " &amp; INDEX($D$4:$U$4, MATCH("Out",D43:U43,0)) &amp; ", " &amp; INDEX($D$3:$U$3, MATCH("Out",D43:U43,0) + MATCH("In", OFFSET(D43,0,MATCH("Out",D43:U43,0),1,18-MATCH("Out",D43:U43,0)),0)) &amp; " - " &amp; INDEX($D$4:$U$4, MATCH("Out",D43:U43,0) + MATCH("In", OFFSET(D43,0,MATCH("Out",D43:U43,0),1,18-MATCH("Out",D43:U43,0)),0) + MATCH("Out", OFFSET(D43,0,MATCH("Out",D43:U43,0)+MATCH("In", OFFSET(D43,0,MATCH("Out",D43:U43,0),1,18-MATCH("Out",D43:U43,0)),0),1,18-(MATCH("Out",D43:U43,0)+MATCH("In", OFFSET(D43,0,MATCH("Out",D43:U43,0),1,18-MATCH("Out",D43:U43,0)),0))),0)))))</f>
        <v>OFF</v>
      </c>
      <c r="W43" s="25" t="s">
        <v>44</v>
      </c>
      <c r="X43" s="7"/>
    </row>
    <row r="44" spans="1:24" ht="20.100000000000001" customHeight="1">
      <c r="A44" s="149"/>
      <c r="B44" s="13" t="s">
        <v>48</v>
      </c>
      <c r="C44" s="37" t="b">
        <v>0</v>
      </c>
      <c r="D44" s="31"/>
      <c r="E44" s="27"/>
      <c r="F44" s="19" t="s">
        <v>42</v>
      </c>
      <c r="G44" s="20"/>
      <c r="H44" s="19"/>
      <c r="I44" s="20"/>
      <c r="J44" s="19"/>
      <c r="K44" s="20"/>
      <c r="L44" s="19"/>
      <c r="M44" s="20" t="s">
        <v>43</v>
      </c>
      <c r="N44" s="26"/>
      <c r="O44" s="27"/>
      <c r="P44" s="26"/>
      <c r="Q44" s="27"/>
      <c r="R44" s="26"/>
      <c r="S44" s="27"/>
      <c r="T44" s="26"/>
      <c r="U44" s="27"/>
      <c r="V44" s="33" t="str" cm="1">
        <f t="array" aca="1" ref="V44" ca="1">IF(C44=TRUE, "OFF", IF(COUNTIF(D44:U44,"In")=0, "-", IF(COUNTIF(D44:U44,"In")=1, INDEX($D$3:$U$3, MATCH("In",D44:U44,0)) &amp; " - " &amp; INDEX($D$4:$U$4, MATCH("Out",D44:U44,0)), INDEX($D$3:$U$3, MATCH("In",D44:U44,0)) &amp; " - " &amp; INDEX($D$4:$U$4, MATCH("Out",D44:U44,0)) &amp; ", " &amp; INDEX($D$3:$U$3, MATCH("Out",D44:U44,0) + MATCH("In", OFFSET(D44,0,MATCH("Out",D44:U44,0),1,18-MATCH("Out",D44:U44,0)),0)) &amp; " - " &amp; INDEX($D$4:$U$4, MATCH("Out",D44:U44,0) + MATCH("In", OFFSET(D44,0,MATCH("Out",D44:U44,0),1,18-MATCH("Out",D44:U44,0)),0) + MATCH("Out", OFFSET(D44,0,MATCH("Out",D44:U44,0)+MATCH("In", OFFSET(D44,0,MATCH("Out",D44:U44,0),1,18-MATCH("Out",D44:U44,0)),0),1,18-(MATCH("Out",D44:U44,0)+MATCH("In", OFFSET(D44,0,MATCH("Out",D44:U44,0),1,18-MATCH("Out",D44:U44,0)),0))),0)))))</f>
        <v>9:00 AM - 1:00 PM</v>
      </c>
      <c r="W44" s="8" t="s">
        <v>44</v>
      </c>
      <c r="X44" s="9"/>
    </row>
  </sheetData>
  <mergeCells count="102">
    <mergeCell ref="A41:A42"/>
    <mergeCell ref="A43:A44"/>
    <mergeCell ref="P39:Q39"/>
    <mergeCell ref="R39:S39"/>
    <mergeCell ref="T39:U39"/>
    <mergeCell ref="V39:V40"/>
    <mergeCell ref="W39:W40"/>
    <mergeCell ref="X39:X40"/>
    <mergeCell ref="A38:X38"/>
    <mergeCell ref="A39:A40"/>
    <mergeCell ref="B39:B40"/>
    <mergeCell ref="C39:C40"/>
    <mergeCell ref="D39:E39"/>
    <mergeCell ref="F39:G39"/>
    <mergeCell ref="H39:I39"/>
    <mergeCell ref="J39:K39"/>
    <mergeCell ref="L39:M39"/>
    <mergeCell ref="N39:O39"/>
    <mergeCell ref="A33:A34"/>
    <mergeCell ref="A35:A36"/>
    <mergeCell ref="A37:X37"/>
    <mergeCell ref="J31:K31"/>
    <mergeCell ref="L31:M31"/>
    <mergeCell ref="N31:O31"/>
    <mergeCell ref="P31:Q31"/>
    <mergeCell ref="R31:S31"/>
    <mergeCell ref="T31:U31"/>
    <mergeCell ref="A25:A26"/>
    <mergeCell ref="A27:A28"/>
    <mergeCell ref="A29:X29"/>
    <mergeCell ref="A30:X30"/>
    <mergeCell ref="A31:A32"/>
    <mergeCell ref="B31:B32"/>
    <mergeCell ref="C31:C32"/>
    <mergeCell ref="D31:E31"/>
    <mergeCell ref="F31:G31"/>
    <mergeCell ref="H31:I31"/>
    <mergeCell ref="V31:V32"/>
    <mergeCell ref="W31:W32"/>
    <mergeCell ref="X31:X32"/>
    <mergeCell ref="P23:Q23"/>
    <mergeCell ref="R23:S23"/>
    <mergeCell ref="T23:U23"/>
    <mergeCell ref="V23:V24"/>
    <mergeCell ref="W23:W24"/>
    <mergeCell ref="X23:X24"/>
    <mergeCell ref="A22:X22"/>
    <mergeCell ref="A23:A24"/>
    <mergeCell ref="B23:B24"/>
    <mergeCell ref="C23:C24"/>
    <mergeCell ref="D23:E23"/>
    <mergeCell ref="F23:G23"/>
    <mergeCell ref="H23:I23"/>
    <mergeCell ref="J23:K23"/>
    <mergeCell ref="L23:M23"/>
    <mergeCell ref="N23:O23"/>
    <mergeCell ref="V15:V16"/>
    <mergeCell ref="W15:W16"/>
    <mergeCell ref="X15:X16"/>
    <mergeCell ref="A17:A18"/>
    <mergeCell ref="A19:A20"/>
    <mergeCell ref="A21:X21"/>
    <mergeCell ref="J15:K15"/>
    <mergeCell ref="L15:M15"/>
    <mergeCell ref="N15:O15"/>
    <mergeCell ref="P15:Q15"/>
    <mergeCell ref="R15:S15"/>
    <mergeCell ref="T15:U15"/>
    <mergeCell ref="A15:A16"/>
    <mergeCell ref="B15:B16"/>
    <mergeCell ref="C15:C16"/>
    <mergeCell ref="D15:E15"/>
    <mergeCell ref="F15:G15"/>
    <mergeCell ref="H15:I15"/>
    <mergeCell ref="A9:A10"/>
    <mergeCell ref="A11:A12"/>
    <mergeCell ref="A13:X13"/>
    <mergeCell ref="A14:X14"/>
    <mergeCell ref="L7:M7"/>
    <mergeCell ref="N7:O7"/>
    <mergeCell ref="P7:Q7"/>
    <mergeCell ref="R7:S7"/>
    <mergeCell ref="T7:U7"/>
    <mergeCell ref="V7:V8"/>
    <mergeCell ref="A7:A8"/>
    <mergeCell ref="B7:B8"/>
    <mergeCell ref="C7:C8"/>
    <mergeCell ref="D7:E7"/>
    <mergeCell ref="F7:G7"/>
    <mergeCell ref="H7:I7"/>
    <mergeCell ref="J7:K7"/>
    <mergeCell ref="W7:W8"/>
    <mergeCell ref="X7:X8"/>
    <mergeCell ref="A1:K1"/>
    <mergeCell ref="L1:M1"/>
    <mergeCell ref="N1:O1"/>
    <mergeCell ref="P1:Q1"/>
    <mergeCell ref="R1:S1"/>
    <mergeCell ref="T1:X1"/>
    <mergeCell ref="A2:X2"/>
    <mergeCell ref="A5:X5"/>
    <mergeCell ref="A6:X6"/>
  </mergeCells>
  <phoneticPr fontId="10" type="noConversion"/>
  <conditionalFormatting sqref="D6:U12 D14:U20 D22:U28 D30:U36 D38:U44">
    <cfRule type="expression" dxfId="239" priority="15" stopIfTrue="1">
      <formula>$C6=TRUE</formula>
    </cfRule>
    <cfRule type="expression" dxfId="238" priority="51">
      <formula>OR(COUNTIF($D6:D6,"In")&gt;COUNTIF($D6:D6,"Out"), D6="Out")</formula>
    </cfRule>
    <cfRule type="cellIs" dxfId="237" priority="52" operator="equal">
      <formula>"In"</formula>
    </cfRule>
    <cfRule type="cellIs" dxfId="236" priority="53" operator="equal">
      <formula>"Out"</formula>
    </cfRule>
  </conditionalFormatting>
  <conditionalFormatting sqref="W7:W10 W12">
    <cfRule type="cellIs" dxfId="235" priority="47" operator="equal">
      <formula>"✓ Approved"</formula>
    </cfRule>
    <cfRule type="cellIs" dxfId="234" priority="48" operator="equal">
      <formula>"Pending"</formula>
    </cfRule>
    <cfRule type="cellIs" dxfId="233" priority="49" operator="equal">
      <formula>"Rejected"</formula>
    </cfRule>
    <cfRule type="cellIs" dxfId="232" priority="50" operator="equal">
      <formula>"-"</formula>
    </cfRule>
  </conditionalFormatting>
  <conditionalFormatting sqref="W9:W10 W12">
    <cfRule type="cellIs" dxfId="231" priority="44" operator="equal">
      <formula>"Rejected"</formula>
    </cfRule>
    <cfRule type="cellIs" dxfId="230" priority="45" operator="equal">
      <formula>"Pending"</formula>
    </cfRule>
    <cfRule type="cellIs" dxfId="229" priority="46" operator="equal">
      <formula>"✓ Approved"</formula>
    </cfRule>
  </conditionalFormatting>
  <conditionalFormatting sqref="W15:W20">
    <cfRule type="cellIs" dxfId="228" priority="40" operator="equal">
      <formula>"✓ Approved"</formula>
    </cfRule>
    <cfRule type="cellIs" dxfId="227" priority="41" operator="equal">
      <formula>"Pending"</formula>
    </cfRule>
    <cfRule type="cellIs" dxfId="226" priority="42" operator="equal">
      <formula>"Rejected"</formula>
    </cfRule>
    <cfRule type="cellIs" dxfId="225" priority="43" operator="equal">
      <formula>"-"</formula>
    </cfRule>
  </conditionalFormatting>
  <conditionalFormatting sqref="W17:W20">
    <cfRule type="cellIs" dxfId="224" priority="37" operator="equal">
      <formula>"Rejected"</formula>
    </cfRule>
    <cfRule type="cellIs" dxfId="223" priority="38" operator="equal">
      <formula>"Pending"</formula>
    </cfRule>
    <cfRule type="cellIs" dxfId="222" priority="39" operator="equal">
      <formula>"✓ Approved"</formula>
    </cfRule>
  </conditionalFormatting>
  <conditionalFormatting sqref="W23:W26 W28">
    <cfRule type="cellIs" dxfId="221" priority="33" operator="equal">
      <formula>"✓ Approved"</formula>
    </cfRule>
    <cfRule type="cellIs" dxfId="220" priority="34" operator="equal">
      <formula>"Pending"</formula>
    </cfRule>
    <cfRule type="cellIs" dxfId="219" priority="35" operator="equal">
      <formula>"Rejected"</formula>
    </cfRule>
    <cfRule type="cellIs" dxfId="218" priority="36" operator="equal">
      <formula>"-"</formula>
    </cfRule>
  </conditionalFormatting>
  <conditionalFormatting sqref="W25:W26 W28">
    <cfRule type="cellIs" dxfId="217" priority="30" operator="equal">
      <formula>"Rejected"</formula>
    </cfRule>
    <cfRule type="cellIs" dxfId="216" priority="31" operator="equal">
      <formula>"Pending"</formula>
    </cfRule>
    <cfRule type="cellIs" dxfId="215" priority="32" operator="equal">
      <formula>"✓ Approved"</formula>
    </cfRule>
  </conditionalFormatting>
  <conditionalFormatting sqref="W31:W36">
    <cfRule type="cellIs" dxfId="214" priority="26" operator="equal">
      <formula>"✓ Approved"</formula>
    </cfRule>
    <cfRule type="cellIs" dxfId="213" priority="27" operator="equal">
      <formula>"Pending"</formula>
    </cfRule>
    <cfRule type="cellIs" dxfId="212" priority="28" operator="equal">
      <formula>"Rejected"</formula>
    </cfRule>
    <cfRule type="cellIs" dxfId="211" priority="29" operator="equal">
      <formula>"-"</formula>
    </cfRule>
  </conditionalFormatting>
  <conditionalFormatting sqref="W33:W36">
    <cfRule type="cellIs" dxfId="210" priority="23" operator="equal">
      <formula>"Rejected"</formula>
    </cfRule>
    <cfRule type="cellIs" dxfId="209" priority="24" operator="equal">
      <formula>"Pending"</formula>
    </cfRule>
    <cfRule type="cellIs" dxfId="208" priority="25" operator="equal">
      <formula>"✓ Approved"</formula>
    </cfRule>
  </conditionalFormatting>
  <conditionalFormatting sqref="W39:W44">
    <cfRule type="cellIs" dxfId="207" priority="19" operator="equal">
      <formula>"✓ Approved"</formula>
    </cfRule>
    <cfRule type="cellIs" dxfId="206" priority="20" operator="equal">
      <formula>"Pending"</formula>
    </cfRule>
    <cfRule type="cellIs" dxfId="205" priority="21" operator="equal">
      <formula>"Rejected"</formula>
    </cfRule>
    <cfRule type="cellIs" dxfId="204" priority="22" operator="equal">
      <formula>"-"</formula>
    </cfRule>
  </conditionalFormatting>
  <conditionalFormatting sqref="W41:W44">
    <cfRule type="cellIs" dxfId="203" priority="16" operator="equal">
      <formula>"Rejected"</formula>
    </cfRule>
    <cfRule type="cellIs" dxfId="202" priority="17" operator="equal">
      <formula>"Pending"</formula>
    </cfRule>
    <cfRule type="cellIs" dxfId="201" priority="18" operator="equal">
      <formula>"✓ Approved"</formula>
    </cfRule>
  </conditionalFormatting>
  <conditionalFormatting sqref="W11">
    <cfRule type="cellIs" dxfId="200" priority="11" operator="equal">
      <formula>"✓ Approved"</formula>
    </cfRule>
    <cfRule type="cellIs" dxfId="199" priority="12" operator="equal">
      <formula>"Pending"</formula>
    </cfRule>
    <cfRule type="cellIs" dxfId="198" priority="13" operator="equal">
      <formula>"Rejected"</formula>
    </cfRule>
    <cfRule type="cellIs" dxfId="197" priority="14" operator="equal">
      <formula>"-"</formula>
    </cfRule>
  </conditionalFormatting>
  <conditionalFormatting sqref="W11">
    <cfRule type="cellIs" dxfId="196" priority="8" operator="equal">
      <formula>"Rejected"</formula>
    </cfRule>
    <cfRule type="cellIs" dxfId="195" priority="9" operator="equal">
      <formula>"Pending"</formula>
    </cfRule>
    <cfRule type="cellIs" dxfId="194" priority="10" operator="equal">
      <formula>"✓ Approved"</formula>
    </cfRule>
  </conditionalFormatting>
  <conditionalFormatting sqref="W27">
    <cfRule type="cellIs" dxfId="193" priority="4" operator="equal">
      <formula>"✓ Approved"</formula>
    </cfRule>
    <cfRule type="cellIs" dxfId="192" priority="5" operator="equal">
      <formula>"Pending"</formula>
    </cfRule>
    <cfRule type="cellIs" dxfId="191" priority="6" operator="equal">
      <formula>"Rejected"</formula>
    </cfRule>
    <cfRule type="cellIs" dxfId="190" priority="7" operator="equal">
      <formula>"-"</formula>
    </cfRule>
  </conditionalFormatting>
  <conditionalFormatting sqref="W27">
    <cfRule type="cellIs" dxfId="189" priority="1" operator="equal">
      <formula>"Rejected"</formula>
    </cfRule>
    <cfRule type="cellIs" dxfId="188" priority="2" operator="equal">
      <formula>"Pending"</formula>
    </cfRule>
    <cfRule type="cellIs" dxfId="187" priority="3" operator="equal">
      <formula>"✓ Approved"</formula>
    </cfRule>
  </conditionalFormatting>
  <dataValidations count="1">
    <dataValidation type="list" allowBlank="1" showInputMessage="1" showErrorMessage="1" sqref="W17:W20 W33:W36 W41:W44 W9:W12 W25:W28" xr:uid="{BC5EF6E4-AEDE-42A3-AE09-C00A822EDF05}">
      <formula1>"✓ Approved, Pending, Rejected, 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415C550-BE4F-40FF-8C14-0509BB9F4C8C}">
          <x14:formula1>
            <xm:f>Lists!$A$2:$A$53</xm:f>
          </x14:formula1>
          <xm:sqref>R1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2485-CC2C-4C66-AD8A-D9D9643D128F}">
  <dimension ref="A1:AA44"/>
  <sheetViews>
    <sheetView topLeftCell="A2" workbookViewId="0">
      <selection activeCell="Y30" sqref="Y30"/>
    </sheetView>
  </sheetViews>
  <sheetFormatPr defaultColWidth="8.875" defaultRowHeight="16.5"/>
  <cols>
    <col min="1" max="1" width="11" customWidth="1"/>
    <col min="2" max="2" width="15" customWidth="1"/>
    <col min="3" max="3" width="6.375" customWidth="1"/>
    <col min="4" max="21" width="5.375" customWidth="1"/>
    <col min="22" max="22" width="28.875" customWidth="1"/>
    <col min="23" max="23" width="13" customWidth="1"/>
    <col min="24" max="24" width="30.5" customWidth="1"/>
    <col min="25" max="25" width="9"/>
    <col min="26" max="26" width="18.875" customWidth="1"/>
  </cols>
  <sheetData>
    <row r="1" spans="1:27" ht="33.950000000000003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 t="s">
        <v>1</v>
      </c>
      <c r="M1" s="79"/>
      <c r="N1" s="81">
        <v>2026</v>
      </c>
      <c r="O1" s="137"/>
      <c r="P1" s="80" t="s">
        <v>2</v>
      </c>
      <c r="Q1" s="79"/>
      <c r="R1" s="81" t="s">
        <v>50</v>
      </c>
      <c r="S1" s="137"/>
      <c r="T1" s="82" t="str">
        <f>"PERIOD " &amp; TEXT($AA$1, "d mmm") &amp; " ~ " &amp; TEXT($AA$1+4, "d mmm")</f>
        <v>PERIOD 7 Sep ~ 11 Sep</v>
      </c>
      <c r="U1" s="138"/>
      <c r="V1" s="138"/>
      <c r="W1" s="138"/>
      <c r="X1" s="138"/>
      <c r="Z1" s="3" t="s">
        <v>4</v>
      </c>
      <c r="AA1">
        <f>DATE(N1, 1, 4) - WEEKDAY(DATE(N1, 1, 4), 2) + (VALUE(SUBSTITUTE(R1, "Week ", "")) - 1)*7 + 1</f>
        <v>46272</v>
      </c>
    </row>
    <row r="2" spans="1:27" ht="47.1" customHeight="1">
      <c r="A2" s="83" t="s">
        <v>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0"/>
    </row>
    <row r="3" spans="1:27" ht="17.100000000000001" hidden="1" customHeight="1">
      <c r="A3" s="4"/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X3" s="6"/>
    </row>
    <row r="4" spans="1:27" ht="17.100000000000001" hidden="1" customHeight="1">
      <c r="A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X4" s="6"/>
    </row>
    <row r="5" spans="1:27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6"/>
    </row>
    <row r="6" spans="1:27" s="10" customFormat="1" ht="29.1" customHeight="1">
      <c r="A6" s="87" t="str">
        <f>"MONDAY (" &amp; TEXT($AA$1, "d mmm") &amp; ")"</f>
        <v>MONDAY (7 Sep)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2"/>
    </row>
    <row r="7" spans="1:27">
      <c r="A7" s="94" t="s">
        <v>25</v>
      </c>
      <c r="B7" s="95" t="s">
        <v>26</v>
      </c>
      <c r="C7" s="96" t="s">
        <v>27</v>
      </c>
      <c r="D7" s="98" t="s">
        <v>28</v>
      </c>
      <c r="E7" s="143"/>
      <c r="F7" s="99" t="s">
        <v>29</v>
      </c>
      <c r="G7" s="143"/>
      <c r="H7" s="99" t="s">
        <v>30</v>
      </c>
      <c r="I7" s="143"/>
      <c r="J7" s="99" t="s">
        <v>31</v>
      </c>
      <c r="K7" s="143"/>
      <c r="L7" s="91" t="s">
        <v>32</v>
      </c>
      <c r="M7" s="92"/>
      <c r="N7" s="91" t="s">
        <v>33</v>
      </c>
      <c r="O7" s="92"/>
      <c r="P7" s="91" t="s">
        <v>34</v>
      </c>
      <c r="Q7" s="92"/>
      <c r="R7" s="91" t="s">
        <v>35</v>
      </c>
      <c r="S7" s="92"/>
      <c r="T7" s="91" t="s">
        <v>36</v>
      </c>
      <c r="U7" s="92"/>
      <c r="V7" s="93" t="s">
        <v>37</v>
      </c>
      <c r="W7" s="100" t="s">
        <v>38</v>
      </c>
      <c r="X7" s="102" t="s">
        <v>39</v>
      </c>
    </row>
    <row r="8" spans="1:27" ht="15.95" customHeight="1">
      <c r="A8" s="144"/>
      <c r="B8" s="145"/>
      <c r="C8" s="97"/>
      <c r="D8" s="32">
        <v>0</v>
      </c>
      <c r="E8" s="15">
        <v>30</v>
      </c>
      <c r="F8" s="16">
        <v>0</v>
      </c>
      <c r="G8" s="17">
        <v>30</v>
      </c>
      <c r="H8" s="16">
        <v>0</v>
      </c>
      <c r="I8" s="17">
        <v>30</v>
      </c>
      <c r="J8" s="16">
        <v>0</v>
      </c>
      <c r="K8" s="17">
        <v>30</v>
      </c>
      <c r="L8" s="16">
        <v>0</v>
      </c>
      <c r="M8" s="17">
        <v>30</v>
      </c>
      <c r="N8" s="16">
        <v>0</v>
      </c>
      <c r="O8" s="17">
        <v>30</v>
      </c>
      <c r="P8" s="14">
        <v>0</v>
      </c>
      <c r="Q8" s="15">
        <v>30</v>
      </c>
      <c r="R8" s="14">
        <v>0</v>
      </c>
      <c r="S8" s="15">
        <v>30</v>
      </c>
      <c r="T8" s="14">
        <v>0</v>
      </c>
      <c r="U8" s="15">
        <v>30</v>
      </c>
      <c r="V8" s="146"/>
      <c r="W8" s="101"/>
      <c r="X8" s="147"/>
    </row>
    <row r="9" spans="1:27" ht="20.100000000000001" customHeight="1">
      <c r="A9" s="88" t="s">
        <v>40</v>
      </c>
      <c r="B9" s="21" t="s">
        <v>41</v>
      </c>
      <c r="C9" s="34" t="b">
        <v>0</v>
      </c>
      <c r="D9" s="28"/>
      <c r="E9" s="23"/>
      <c r="F9" s="22"/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38" t="str" cm="1">
        <f t="array" aca="1" ref="V9" ca="1">IF(C9=TRUE, "OFF", IF(COUNTIF(D9:U9,"In")=0, "-", IF(COUNTIF(D9:U9,"In")=1, INDEX($D$3:$U$3, MATCH("In",D9:U9,0)) &amp; " - " &amp; INDEX($D$4:$U$4, MATCH("Out",D9:U9,0)), INDEX($D$3:$U$3, MATCH("In",D9:U9,0)) &amp; " - " &amp; INDEX($D$4:$U$4, MATCH("Out",D9:U9,0)) &amp; ", " &amp; INDEX($D$3:$U$3, MATCH("Out",D9:U9,0) + MATCH("In", OFFSET(D9,0,MATCH("Out",D9:U9,0),1,18-MATCH("Out",D9:U9,0)),0)) &amp; " - " &amp; INDEX($D$4:$U$4, MATCH("Out",D9:U9,0) + MATCH("In", OFFSET(D9,0,MATCH("Out",D9:U9,0),1,18-MATCH("Out",D9:U9,0)),0) + MATCH("Out", OFFSET(D9,0,MATCH("Out",D9:U9,0)+MATCH("In", OFFSET(D9,0,MATCH("Out",D9:U9,0),1,18-MATCH("Out",D9:U9,0)),0),1,18-(MATCH("Out",D9:U9,0)+MATCH("In", OFFSET(D9,0,MATCH("Out",D9:U9,0),1,18-MATCH("Out",D9:U9,0)),0))),0)))))</f>
        <v>-</v>
      </c>
      <c r="W9" s="1" t="s">
        <v>44</v>
      </c>
      <c r="X9" s="7"/>
    </row>
    <row r="10" spans="1:27" ht="20.100000000000001" customHeight="1">
      <c r="A10" s="148"/>
      <c r="B10" s="24" t="s">
        <v>45</v>
      </c>
      <c r="C10" s="35" t="b">
        <v>0</v>
      </c>
      <c r="D10" s="29"/>
      <c r="E10" s="12"/>
      <c r="F10" s="11"/>
      <c r="G10" s="12"/>
      <c r="H10" s="11"/>
      <c r="I10" s="12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39" t="str" cm="1">
        <f t="array" aca="1" ref="V10" ca="1">IF(C10=TRUE, "OFF", IF(COUNTIF(D10:U10,"In")=0, "-", IF(COUNTIF(D10:U10,"In")=1, INDEX($D$3:$U$3, MATCH("In",D10:U10,0)) &amp; " - " &amp; INDEX($D$4:$U$4, MATCH("Out",D10:U10,0)), INDEX($D$3:$U$3, MATCH("In",D10:U10,0)) &amp; " - " &amp; INDEX($D$4:$U$4, MATCH("Out",D10:U10,0)) &amp; ", " &amp; INDEX($D$3:$U$3, MATCH("Out",D10:U10,0) + MATCH("In", OFFSET(D10,0,MATCH("Out",D10:U10,0),1,18-MATCH("Out",D10:U10,0)),0)) &amp; " - " &amp; INDEX($D$4:$U$4, MATCH("Out",D10:U10,0) + MATCH("In", OFFSET(D10,0,MATCH("Out",D10:U10,0),1,18-MATCH("Out",D10:U10,0)),0) + MATCH("Out", OFFSET(D10,0,MATCH("Out",D10:U10,0)+MATCH("In", OFFSET(D10,0,MATCH("Out",D10:U10,0),1,18-MATCH("Out",D10:U10,0)),0),1,18-(MATCH("Out",D10:U10,0)+MATCH("In", OFFSET(D10,0,MATCH("Out",D10:U10,0),1,18-MATCH("Out",D10:U10,0)),0))),0)))))</f>
        <v>-</v>
      </c>
      <c r="W10" s="1" t="s">
        <v>44</v>
      </c>
      <c r="X10" s="7"/>
    </row>
    <row r="11" spans="1:27" ht="20.100000000000001" customHeight="1">
      <c r="A11" s="89" t="s">
        <v>46</v>
      </c>
      <c r="B11" s="18" t="s">
        <v>47</v>
      </c>
      <c r="C11" s="36" t="b">
        <v>0</v>
      </c>
      <c r="D11" s="30"/>
      <c r="E11" s="20"/>
      <c r="F11" s="19" t="s">
        <v>42</v>
      </c>
      <c r="G11" s="20"/>
      <c r="H11" s="19"/>
      <c r="I11" s="20"/>
      <c r="J11" s="19"/>
      <c r="K11" s="20"/>
      <c r="L11" s="19"/>
      <c r="M11" s="20" t="s">
        <v>43</v>
      </c>
      <c r="N11" s="19"/>
      <c r="O11" s="20"/>
      <c r="P11" s="19"/>
      <c r="Q11" s="20"/>
      <c r="R11" s="19"/>
      <c r="S11" s="20"/>
      <c r="T11" s="19"/>
      <c r="U11" s="20"/>
      <c r="V11" s="39" t="str" cm="1">
        <f t="array" aca="1" ref="V11" ca="1">IF(C11=TRUE, "OFF", IF(COUNTIF(D11:U11,"In")=0, "-", IF(COUNTIF(D11:U11,"In")=1, INDEX($D$3:$U$3, MATCH("In",D11:U11,0)) &amp; " - " &amp; INDEX($D$4:$U$4, MATCH("Out",D11:U11,0)), INDEX($D$3:$U$3, MATCH("In",D11:U11,0)) &amp; " - " &amp; INDEX($D$4:$U$4, MATCH("Out",D11:U11,0)) &amp; ", " &amp; INDEX($D$3:$U$3, MATCH("Out",D11:U11,0) + MATCH("In", OFFSET(D11,0,MATCH("Out",D11:U11,0),1,18-MATCH("Out",D11:U11,0)),0)) &amp; " - " &amp; INDEX($D$4:$U$4, MATCH("Out",D11:U11,0) + MATCH("In", OFFSET(D11,0,MATCH("Out",D11:U11,0),1,18-MATCH("Out",D11:U11,0)),0) + MATCH("Out", OFFSET(D11,0,MATCH("Out",D11:U11,0)+MATCH("In", OFFSET(D11,0,MATCH("Out",D11:U11,0),1,18-MATCH("Out",D11:U11,0)),0),1,18-(MATCH("Out",D11:U11,0)+MATCH("In", OFFSET(D11,0,MATCH("Out",D11:U11,0),1,18-MATCH("Out",D11:U11,0)),0))),0)))))</f>
        <v>9:00 AM - 1:00 PM</v>
      </c>
      <c r="W11" s="1" t="s">
        <v>44</v>
      </c>
      <c r="X11" s="7"/>
    </row>
    <row r="12" spans="1:27" ht="20.100000000000001" customHeight="1">
      <c r="A12" s="149"/>
      <c r="B12" s="13" t="s">
        <v>48</v>
      </c>
      <c r="C12" s="37" t="b">
        <v>0</v>
      </c>
      <c r="D12" s="31"/>
      <c r="E12" s="27"/>
      <c r="F12" s="19" t="s">
        <v>42</v>
      </c>
      <c r="G12" s="20"/>
      <c r="H12" s="19"/>
      <c r="I12" s="20"/>
      <c r="J12" s="19"/>
      <c r="K12" s="20"/>
      <c r="L12" s="19"/>
      <c r="M12" s="20" t="s">
        <v>43</v>
      </c>
      <c r="N12" s="26"/>
      <c r="O12" s="27"/>
      <c r="P12" s="26"/>
      <c r="Q12" s="27"/>
      <c r="R12" s="26"/>
      <c r="S12" s="27"/>
      <c r="T12" s="26"/>
      <c r="U12" s="27"/>
      <c r="V12" s="33" t="str" cm="1">
        <f t="array" aca="1" ref="V12" ca="1">IF(C12=TRUE, "OFF", IF(COUNTIF(D12:U12,"In")=0, "-", IF(COUNTIF(D12:U12,"In")=1, INDEX($D$3:$U$3, MATCH("In",D12:U12,0)) &amp; " - " &amp; INDEX($D$4:$U$4, MATCH("Out",D12:U12,0)), INDEX($D$3:$U$3, MATCH("In",D12:U12,0)) &amp; " - " &amp; INDEX($D$4:$U$4, MATCH("Out",D12:U12,0)) &amp; ", " &amp; INDEX($D$3:$U$3, MATCH("Out",D12:U12,0) + MATCH("In", OFFSET(D12,0,MATCH("Out",D12:U12,0),1,18-MATCH("Out",D12:U12,0)),0)) &amp; " - " &amp; INDEX($D$4:$U$4, MATCH("Out",D12:U12,0) + MATCH("In", OFFSET(D12,0,MATCH("Out",D12:U12,0),1,18-MATCH("Out",D12:U12,0)),0) + MATCH("Out", OFFSET(D12,0,MATCH("Out",D12:U12,0)+MATCH("In", OFFSET(D12,0,MATCH("Out",D12:U12,0),1,18-MATCH("Out",D12:U12,0)),0),1,18-(MATCH("Out",D12:U12,0)+MATCH("In", OFFSET(D12,0,MATCH("Out",D12:U12,0),1,18-MATCH("Out",D12:U12,0)),0))),0)))))</f>
        <v>9:00 AM - 1:00 PM</v>
      </c>
      <c r="W12" s="8" t="s">
        <v>44</v>
      </c>
      <c r="X12" s="9"/>
    </row>
    <row r="13" spans="1:27" ht="20.100000000000001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6"/>
    </row>
    <row r="14" spans="1:27" s="10" customFormat="1" ht="29.1" customHeight="1">
      <c r="A14" s="90" t="str">
        <f>"TUESDAY (" &amp; TEXT($AA$1+1, "d mmm") &amp; ")"</f>
        <v>TUESDAY (8 Sep)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1"/>
    </row>
    <row r="15" spans="1:27" ht="18" customHeight="1">
      <c r="A15" s="94" t="s">
        <v>25</v>
      </c>
      <c r="B15" s="95" t="s">
        <v>26</v>
      </c>
      <c r="C15" s="96" t="s">
        <v>27</v>
      </c>
      <c r="D15" s="98" t="s">
        <v>28</v>
      </c>
      <c r="E15" s="143"/>
      <c r="F15" s="99" t="s">
        <v>29</v>
      </c>
      <c r="G15" s="143"/>
      <c r="H15" s="99" t="s">
        <v>30</v>
      </c>
      <c r="I15" s="143"/>
      <c r="J15" s="99" t="s">
        <v>31</v>
      </c>
      <c r="K15" s="143"/>
      <c r="L15" s="91" t="s">
        <v>32</v>
      </c>
      <c r="M15" s="92"/>
      <c r="N15" s="91" t="s">
        <v>33</v>
      </c>
      <c r="O15" s="92"/>
      <c r="P15" s="91" t="s">
        <v>34</v>
      </c>
      <c r="Q15" s="92"/>
      <c r="R15" s="91" t="s">
        <v>35</v>
      </c>
      <c r="S15" s="92"/>
      <c r="T15" s="91" t="s">
        <v>36</v>
      </c>
      <c r="U15" s="92"/>
      <c r="V15" s="103" t="s">
        <v>37</v>
      </c>
      <c r="W15" s="104" t="s">
        <v>38</v>
      </c>
      <c r="X15" s="105" t="s">
        <v>39</v>
      </c>
    </row>
    <row r="16" spans="1:27" ht="15.95" customHeight="1">
      <c r="A16" s="144"/>
      <c r="B16" s="145"/>
      <c r="C16" s="97"/>
      <c r="D16" s="32">
        <v>0</v>
      </c>
      <c r="E16" s="15">
        <v>30</v>
      </c>
      <c r="F16" s="16">
        <v>0</v>
      </c>
      <c r="G16" s="17">
        <v>30</v>
      </c>
      <c r="H16" s="16">
        <v>0</v>
      </c>
      <c r="I16" s="17">
        <v>30</v>
      </c>
      <c r="J16" s="16">
        <v>0</v>
      </c>
      <c r="K16" s="17">
        <v>30</v>
      </c>
      <c r="L16" s="16">
        <v>0</v>
      </c>
      <c r="M16" s="17">
        <v>30</v>
      </c>
      <c r="N16" s="16">
        <v>0</v>
      </c>
      <c r="O16" s="17">
        <v>30</v>
      </c>
      <c r="P16" s="14">
        <v>0</v>
      </c>
      <c r="Q16" s="15">
        <v>30</v>
      </c>
      <c r="R16" s="14">
        <v>0</v>
      </c>
      <c r="S16" s="15">
        <v>30</v>
      </c>
      <c r="T16" s="14">
        <v>0</v>
      </c>
      <c r="U16" s="15">
        <v>30</v>
      </c>
      <c r="V16" s="146"/>
      <c r="W16" s="101"/>
      <c r="X16" s="147"/>
    </row>
    <row r="17" spans="1:24" ht="20.100000000000001" customHeight="1">
      <c r="A17" s="88" t="s">
        <v>40</v>
      </c>
      <c r="B17" s="21" t="s">
        <v>41</v>
      </c>
      <c r="C17" s="34" t="b">
        <v>0</v>
      </c>
      <c r="D17" s="28"/>
      <c r="E17" s="23"/>
      <c r="F17" s="22"/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38" t="str" cm="1">
        <f t="array" aca="1" ref="V17" ca="1">IF(C17=TRUE, "OFF", IF(COUNTIF(D17:U17,"In")=0, "-", IF(COUNTIF(D17:U17,"In")=1, INDEX($D$3:$U$3, MATCH("In",D17:U17,0)) &amp; " - " &amp; INDEX($D$4:$U$4, MATCH("Out",D17:U17,0)), INDEX($D$3:$U$3, MATCH("In",D17:U17,0)) &amp; " - " &amp; INDEX($D$4:$U$4, MATCH("Out",D17:U17,0)) &amp; ", " &amp; INDEX($D$3:$U$3, MATCH("Out",D17:U17,0) + MATCH("In", OFFSET(D17,0,MATCH("Out",D17:U17,0),1,18-MATCH("Out",D17:U17,0)),0)) &amp; " - " &amp; INDEX($D$4:$U$4, MATCH("Out",D17:U17,0) + MATCH("In", OFFSET(D17,0,MATCH("Out",D17:U17,0),1,18-MATCH("Out",D17:U17,0)),0) + MATCH("Out", OFFSET(D17,0,MATCH("Out",D17:U17,0)+MATCH("In", OFFSET(D17,0,MATCH("Out",D17:U17,0),1,18-MATCH("Out",D17:U17,0)),0),1,18-(MATCH("Out",D17:U17,0)+MATCH("In", OFFSET(D17,0,MATCH("Out",D17:U17,0),1,18-MATCH("Out",D17:U17,0)),0))),0)))))</f>
        <v>-</v>
      </c>
      <c r="W17" s="1" t="s">
        <v>44</v>
      </c>
      <c r="X17" s="7"/>
    </row>
    <row r="18" spans="1:24" ht="20.100000000000001" customHeight="1">
      <c r="A18" s="148"/>
      <c r="B18" s="24" t="s">
        <v>45</v>
      </c>
      <c r="C18" s="35" t="b">
        <v>0</v>
      </c>
      <c r="D18" s="19" t="s">
        <v>42</v>
      </c>
      <c r="E18" s="20"/>
      <c r="F18" s="19"/>
      <c r="G18" s="20"/>
      <c r="H18" s="19"/>
      <c r="I18" s="20"/>
      <c r="J18" s="19"/>
      <c r="K18" s="20" t="s">
        <v>43</v>
      </c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39" t="str" cm="1">
        <f t="array" aca="1" ref="V18" ca="1">IF(C18=TRUE, "OFF", IF(COUNTIF(D18:U18,"In")=0, "-", IF(COUNTIF(D18:U18,"In")=1, INDEX($D$3:$U$3, MATCH("In",D18:U18,0)) &amp; " - " &amp; INDEX($D$4:$U$4, MATCH("Out",D18:U18,0)), INDEX($D$3:$U$3, MATCH("In",D18:U18,0)) &amp; " - " &amp; INDEX($D$4:$U$4, MATCH("Out",D18:U18,0)) &amp; ", " &amp; INDEX($D$3:$U$3, MATCH("Out",D18:U18,0) + MATCH("In", OFFSET(D18,0,MATCH("Out",D18:U18,0),1,18-MATCH("Out",D18:U18,0)),0)) &amp; " - " &amp; INDEX($D$4:$U$4, MATCH("Out",D18:U18,0) + MATCH("In", OFFSET(D18,0,MATCH("Out",D18:U18,0),1,18-MATCH("Out",D18:U18,0)),0) + MATCH("Out", OFFSET(D18,0,MATCH("Out",D18:U18,0)+MATCH("In", OFFSET(D18,0,MATCH("Out",D18:U18,0),1,18-MATCH("Out",D18:U18,0)),0),1,18-(MATCH("Out",D18:U18,0)+MATCH("In", OFFSET(D18,0,MATCH("Out",D18:U18,0),1,18-MATCH("Out",D18:U18,0)),0))),0)))))</f>
        <v>8:00 AM - 12:00 PM</v>
      </c>
      <c r="W18" s="1" t="s">
        <v>44</v>
      </c>
      <c r="X18" s="7"/>
    </row>
    <row r="19" spans="1:24" ht="20.100000000000001" customHeight="1">
      <c r="A19" s="89" t="s">
        <v>46</v>
      </c>
      <c r="B19" s="18" t="s">
        <v>47</v>
      </c>
      <c r="C19" s="36" t="b">
        <v>0</v>
      </c>
      <c r="D19" s="30"/>
      <c r="E19" s="20"/>
      <c r="F19" s="19" t="s">
        <v>42</v>
      </c>
      <c r="G19" s="20"/>
      <c r="H19" s="19"/>
      <c r="I19" s="20"/>
      <c r="J19" s="19"/>
      <c r="K19" s="20"/>
      <c r="L19" s="19"/>
      <c r="M19" s="20" t="s">
        <v>43</v>
      </c>
      <c r="N19" s="19"/>
      <c r="O19" s="20"/>
      <c r="P19" s="19"/>
      <c r="Q19" s="20"/>
      <c r="R19" s="19"/>
      <c r="S19" s="20"/>
      <c r="T19" s="19"/>
      <c r="U19" s="20"/>
      <c r="V19" s="39" t="str" cm="1">
        <f t="array" aca="1" ref="V19" ca="1">IF(C19=TRUE, "OFF", IF(COUNTIF(D19:U19,"In")=0, "-", IF(COUNTIF(D19:U19,"In")=1, INDEX($D$3:$U$3, MATCH("In",D19:U19,0)) &amp; " - " &amp; INDEX($D$4:$U$4, MATCH("Out",D19:U19,0)), INDEX($D$3:$U$3, MATCH("In",D19:U19,0)) &amp; " - " &amp; INDEX($D$4:$U$4, MATCH("Out",D19:U19,0)) &amp; ", " &amp; INDEX($D$3:$U$3, MATCH("Out",D19:U19,0) + MATCH("In", OFFSET(D19,0,MATCH("Out",D19:U19,0),1,18-MATCH("Out",D19:U19,0)),0)) &amp; " - " &amp; INDEX($D$4:$U$4, MATCH("Out",D19:U19,0) + MATCH("In", OFFSET(D19,0,MATCH("Out",D19:U19,0),1,18-MATCH("Out",D19:U19,0)),0) + MATCH("Out", OFFSET(D19,0,MATCH("Out",D19:U19,0)+MATCH("In", OFFSET(D19,0,MATCH("Out",D19:U19,0),1,18-MATCH("Out",D19:U19,0)),0),1,18-(MATCH("Out",D19:U19,0)+MATCH("In", OFFSET(D19,0,MATCH("Out",D19:U19,0),1,18-MATCH("Out",D19:U19,0)),0))),0)))))</f>
        <v>9:00 AM - 1:00 PM</v>
      </c>
      <c r="W19" s="1" t="s">
        <v>44</v>
      </c>
      <c r="X19" s="7"/>
    </row>
    <row r="20" spans="1:24" ht="20.100000000000001" customHeight="1">
      <c r="A20" s="149"/>
      <c r="B20" s="13" t="s">
        <v>48</v>
      </c>
      <c r="C20" s="37" t="b">
        <v>0</v>
      </c>
      <c r="D20" s="31"/>
      <c r="E20" s="27"/>
      <c r="F20" s="19" t="s">
        <v>42</v>
      </c>
      <c r="G20" s="20"/>
      <c r="H20" s="19"/>
      <c r="I20" s="20"/>
      <c r="J20" s="19"/>
      <c r="K20" s="20"/>
      <c r="L20" s="19"/>
      <c r="M20" s="20" t="s">
        <v>43</v>
      </c>
      <c r="N20" s="26"/>
      <c r="O20" s="27"/>
      <c r="P20" s="26"/>
      <c r="Q20" s="27"/>
      <c r="R20" s="26"/>
      <c r="S20" s="27"/>
      <c r="T20" s="26"/>
      <c r="U20" s="27"/>
      <c r="V20" s="33" t="str" cm="1">
        <f t="array" aca="1" ref="V20" ca="1">IF(C20=TRUE, "OFF", IF(COUNTIF(D20:U20,"In")=0, "-", IF(COUNTIF(D20:U20,"In")=1, INDEX($D$3:$U$3, MATCH("In",D20:U20,0)) &amp; " - " &amp; INDEX($D$4:$U$4, MATCH("Out",D20:U20,0)), INDEX($D$3:$U$3, MATCH("In",D20:U20,0)) &amp; " - " &amp; INDEX($D$4:$U$4, MATCH("Out",D20:U20,0)) &amp; ", " &amp; INDEX($D$3:$U$3, MATCH("Out",D20:U20,0) + MATCH("In", OFFSET(D20,0,MATCH("Out",D20:U20,0),1,18-MATCH("Out",D20:U20,0)),0)) &amp; " - " &amp; INDEX($D$4:$U$4, MATCH("Out",D20:U20,0) + MATCH("In", OFFSET(D20,0,MATCH("Out",D20:U20,0),1,18-MATCH("Out",D20:U20,0)),0) + MATCH("Out", OFFSET(D20,0,MATCH("Out",D20:U20,0)+MATCH("In", OFFSET(D20,0,MATCH("Out",D20:U20,0),1,18-MATCH("Out",D20:U20,0)),0),1,18-(MATCH("Out",D20:U20,0)+MATCH("In", OFFSET(D20,0,MATCH("Out",D20:U20,0),1,18-MATCH("Out",D20:U20,0)),0))),0)))))</f>
        <v>9:00 AM - 1:00 PM</v>
      </c>
      <c r="W20" s="8" t="s">
        <v>44</v>
      </c>
      <c r="X20" s="9"/>
    </row>
    <row r="21" spans="1:24" ht="20.100000000000001" customHeight="1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6"/>
    </row>
    <row r="22" spans="1:24" s="10" customFormat="1" ht="29.1" customHeight="1">
      <c r="A22" s="90" t="str">
        <f>"WEDNESDAY (" &amp; TEXT($AA$1+2, "d mmm") &amp; ")"</f>
        <v>WEDNESDAY (9 Sep)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1"/>
    </row>
    <row r="23" spans="1:24" ht="18" customHeight="1">
      <c r="A23" s="94" t="s">
        <v>25</v>
      </c>
      <c r="B23" s="95" t="s">
        <v>26</v>
      </c>
      <c r="C23" s="96" t="s">
        <v>27</v>
      </c>
      <c r="D23" s="98" t="s">
        <v>28</v>
      </c>
      <c r="E23" s="143"/>
      <c r="F23" s="99" t="s">
        <v>29</v>
      </c>
      <c r="G23" s="143"/>
      <c r="H23" s="99" t="s">
        <v>30</v>
      </c>
      <c r="I23" s="143"/>
      <c r="J23" s="99" t="s">
        <v>31</v>
      </c>
      <c r="K23" s="143"/>
      <c r="L23" s="91" t="s">
        <v>32</v>
      </c>
      <c r="M23" s="92"/>
      <c r="N23" s="91" t="s">
        <v>33</v>
      </c>
      <c r="O23" s="92"/>
      <c r="P23" s="91" t="s">
        <v>34</v>
      </c>
      <c r="Q23" s="92"/>
      <c r="R23" s="91" t="s">
        <v>35</v>
      </c>
      <c r="S23" s="92"/>
      <c r="T23" s="91" t="s">
        <v>36</v>
      </c>
      <c r="U23" s="92"/>
      <c r="V23" s="103" t="s">
        <v>37</v>
      </c>
      <c r="W23" s="104" t="s">
        <v>38</v>
      </c>
      <c r="X23" s="105" t="s">
        <v>39</v>
      </c>
    </row>
    <row r="24" spans="1:24" ht="15.95" customHeight="1">
      <c r="A24" s="144"/>
      <c r="B24" s="145"/>
      <c r="C24" s="97"/>
      <c r="D24" s="32">
        <v>0</v>
      </c>
      <c r="E24" s="15">
        <v>30</v>
      </c>
      <c r="F24" s="16">
        <v>0</v>
      </c>
      <c r="G24" s="17">
        <v>30</v>
      </c>
      <c r="H24" s="16">
        <v>0</v>
      </c>
      <c r="I24" s="17">
        <v>30</v>
      </c>
      <c r="J24" s="16">
        <v>0</v>
      </c>
      <c r="K24" s="17">
        <v>30</v>
      </c>
      <c r="L24" s="16">
        <v>0</v>
      </c>
      <c r="M24" s="17">
        <v>30</v>
      </c>
      <c r="N24" s="16">
        <v>0</v>
      </c>
      <c r="O24" s="17">
        <v>30</v>
      </c>
      <c r="P24" s="14">
        <v>0</v>
      </c>
      <c r="Q24" s="15">
        <v>30</v>
      </c>
      <c r="R24" s="14">
        <v>0</v>
      </c>
      <c r="S24" s="15">
        <v>30</v>
      </c>
      <c r="T24" s="14">
        <v>0</v>
      </c>
      <c r="U24" s="15">
        <v>30</v>
      </c>
      <c r="V24" s="146"/>
      <c r="W24" s="101"/>
      <c r="X24" s="147"/>
    </row>
    <row r="25" spans="1:24" ht="20.100000000000001" customHeight="1">
      <c r="A25" s="88" t="s">
        <v>40</v>
      </c>
      <c r="B25" s="21" t="s">
        <v>41</v>
      </c>
      <c r="C25" s="34" t="b">
        <v>0</v>
      </c>
      <c r="D25" s="28"/>
      <c r="E25" s="23"/>
      <c r="F25" s="22"/>
      <c r="G25" s="23"/>
      <c r="H25" s="22"/>
      <c r="I25" s="23"/>
      <c r="J25" s="22"/>
      <c r="K25" s="23"/>
      <c r="L25" s="22"/>
      <c r="M25" s="23"/>
      <c r="N25" s="22"/>
      <c r="O25" s="23"/>
      <c r="P25" s="22"/>
      <c r="Q25" s="23"/>
      <c r="R25" s="22"/>
      <c r="S25" s="23"/>
      <c r="T25" s="22"/>
      <c r="U25" s="23"/>
      <c r="V25" s="38" t="str" cm="1">
        <f t="array" aca="1" ref="V25" ca="1">IF(C25=TRUE, "OFF", IF(COUNTIF(D25:U25,"In")=0, "-", IF(COUNTIF(D25:U25,"In")=1, INDEX($D$3:$U$3, MATCH("In",D25:U25,0)) &amp; " - " &amp; INDEX($D$4:$U$4, MATCH("Out",D25:U25,0)), INDEX($D$3:$U$3, MATCH("In",D25:U25,0)) &amp; " - " &amp; INDEX($D$4:$U$4, MATCH("Out",D25:U25,0)) &amp; ", " &amp; INDEX($D$3:$U$3, MATCH("Out",D25:U25,0) + MATCH("In", OFFSET(D25,0,MATCH("Out",D25:U25,0),1,18-MATCH("Out",D25:U25,0)),0)) &amp; " - " &amp; INDEX($D$4:$U$4, MATCH("Out",D25:U25,0) + MATCH("In", OFFSET(D25,0,MATCH("Out",D25:U25,0),1,18-MATCH("Out",D25:U25,0)),0) + MATCH("Out", OFFSET(D25,0,MATCH("Out",D25:U25,0)+MATCH("In", OFFSET(D25,0,MATCH("Out",D25:U25,0),1,18-MATCH("Out",D25:U25,0)),0),1,18-(MATCH("Out",D25:U25,0)+MATCH("In", OFFSET(D25,0,MATCH("Out",D25:U25,0),1,18-MATCH("Out",D25:U25,0)),0))),0)))))</f>
        <v>-</v>
      </c>
      <c r="W25" s="1" t="s">
        <v>44</v>
      </c>
      <c r="X25" s="7"/>
    </row>
    <row r="26" spans="1:24" ht="20.100000000000001" customHeight="1">
      <c r="A26" s="148"/>
      <c r="B26" s="24" t="s">
        <v>45</v>
      </c>
      <c r="C26" s="35" t="b">
        <v>0</v>
      </c>
      <c r="D26" s="29"/>
      <c r="E26" s="12"/>
      <c r="F26" s="11"/>
      <c r="G26" s="12"/>
      <c r="H26" s="11"/>
      <c r="I26" s="12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39" t="str" cm="1">
        <f t="array" aca="1" ref="V26" ca="1">IF(C26=TRUE, "OFF", IF(COUNTIF(D26:U26,"In")=0, "-", IF(COUNTIF(D26:U26,"In")=1, INDEX($D$3:$U$3, MATCH("In",D26:U26,0)) &amp; " - " &amp; INDEX($D$4:$U$4, MATCH("Out",D26:U26,0)), INDEX($D$3:$U$3, MATCH("In",D26:U26,0)) &amp; " - " &amp; INDEX($D$4:$U$4, MATCH("Out",D26:U26,0)) &amp; ", " &amp; INDEX($D$3:$U$3, MATCH("Out",D26:U26,0) + MATCH("In", OFFSET(D26,0,MATCH("Out",D26:U26,0),1,18-MATCH("Out",D26:U26,0)),0)) &amp; " - " &amp; INDEX($D$4:$U$4, MATCH("Out",D26:U26,0) + MATCH("In", OFFSET(D26,0,MATCH("Out",D26:U26,0),1,18-MATCH("Out",D26:U26,0)),0) + MATCH("Out", OFFSET(D26,0,MATCH("Out",D26:U26,0)+MATCH("In", OFFSET(D26,0,MATCH("Out",D26:U26,0),1,18-MATCH("Out",D26:U26,0)),0),1,18-(MATCH("Out",D26:U26,0)+MATCH("In", OFFSET(D26,0,MATCH("Out",D26:U26,0),1,18-MATCH("Out",D26:U26,0)),0))),0)))))</f>
        <v>-</v>
      </c>
      <c r="W26" s="1" t="s">
        <v>44</v>
      </c>
      <c r="X26" s="7"/>
    </row>
    <row r="27" spans="1:24">
      <c r="A27" s="89" t="s">
        <v>46</v>
      </c>
      <c r="B27" s="18" t="s">
        <v>47</v>
      </c>
      <c r="C27" s="36" t="b">
        <v>0</v>
      </c>
      <c r="D27" s="30"/>
      <c r="E27" s="20"/>
      <c r="F27" s="19" t="s">
        <v>42</v>
      </c>
      <c r="G27" s="20"/>
      <c r="H27" s="19"/>
      <c r="I27" s="20"/>
      <c r="J27" s="19"/>
      <c r="K27" s="20"/>
      <c r="L27" s="19"/>
      <c r="M27" s="20" t="s">
        <v>43</v>
      </c>
      <c r="N27" s="19"/>
      <c r="O27" s="20"/>
      <c r="P27" s="19"/>
      <c r="Q27" s="20"/>
      <c r="R27" s="19"/>
      <c r="S27" s="20"/>
      <c r="T27" s="19"/>
      <c r="U27" s="20"/>
      <c r="V27" s="39" t="str" cm="1">
        <f t="array" aca="1" ref="V27" ca="1">IF(C27=TRUE, "OFF", IF(COUNTIF(D27:U27,"In")=0, "-", IF(COUNTIF(D27:U27,"In")=1, INDEX($D$3:$U$3, MATCH("In",D27:U27,0)) &amp; " - " &amp; INDEX($D$4:$U$4, MATCH("Out",D27:U27,0)), INDEX($D$3:$U$3, MATCH("In",D27:U27,0)) &amp; " - " &amp; INDEX($D$4:$U$4, MATCH("Out",D27:U27,0)) &amp; ", " &amp; INDEX($D$3:$U$3, MATCH("Out",D27:U27,0) + MATCH("In", OFFSET(D27,0,MATCH("Out",D27:U27,0),1,18-MATCH("Out",D27:U27,0)),0)) &amp; " - " &amp; INDEX($D$4:$U$4, MATCH("Out",D27:U27,0) + MATCH("In", OFFSET(D27,0,MATCH("Out",D27:U27,0),1,18-MATCH("Out",D27:U27,0)),0) + MATCH("Out", OFFSET(D27,0,MATCH("Out",D27:U27,0)+MATCH("In", OFFSET(D27,0,MATCH("Out",D27:U27,0),1,18-MATCH("Out",D27:U27,0)),0),1,18-(MATCH("Out",D27:U27,0)+MATCH("In", OFFSET(D27,0,MATCH("Out",D27:U27,0),1,18-MATCH("Out",D27:U27,0)),0))),0)))))</f>
        <v>9:00 AM - 1:00 PM</v>
      </c>
      <c r="W27" s="1" t="s">
        <v>44</v>
      </c>
      <c r="X27" s="7"/>
    </row>
    <row r="28" spans="1:24">
      <c r="A28" s="149"/>
      <c r="B28" s="13" t="s">
        <v>48</v>
      </c>
      <c r="C28" s="37" t="b">
        <v>0</v>
      </c>
      <c r="D28" s="31"/>
      <c r="E28" s="27"/>
      <c r="F28" s="19" t="s">
        <v>42</v>
      </c>
      <c r="G28" s="20"/>
      <c r="H28" s="19"/>
      <c r="I28" s="20"/>
      <c r="J28" s="19"/>
      <c r="K28" s="20"/>
      <c r="L28" s="19"/>
      <c r="M28" s="20" t="s">
        <v>43</v>
      </c>
      <c r="N28" s="26"/>
      <c r="O28" s="27"/>
      <c r="P28" s="26"/>
      <c r="Q28" s="27"/>
      <c r="R28" s="26"/>
      <c r="S28" s="27"/>
      <c r="T28" s="26"/>
      <c r="U28" s="27"/>
      <c r="V28" s="33" t="str" cm="1">
        <f t="array" aca="1" ref="V28" ca="1">IF(C28=TRUE, "OFF", IF(COUNTIF(D28:U28,"In")=0, "-", IF(COUNTIF(D28:U28,"In")=1, INDEX($D$3:$U$3, MATCH("In",D28:U28,0)) &amp; " - " &amp; INDEX($D$4:$U$4, MATCH("Out",D28:U28,0)), INDEX($D$3:$U$3, MATCH("In",D28:U28,0)) &amp; " - " &amp; INDEX($D$4:$U$4, MATCH("Out",D28:U28,0)) &amp; ", " &amp; INDEX($D$3:$U$3, MATCH("Out",D28:U28,0) + MATCH("In", OFFSET(D28,0,MATCH("Out",D28:U28,0),1,18-MATCH("Out",D28:U28,0)),0)) &amp; " - " &amp; INDEX($D$4:$U$4, MATCH("Out",D28:U28,0) + MATCH("In", OFFSET(D28,0,MATCH("Out",D28:U28,0),1,18-MATCH("Out",D28:U28,0)),0) + MATCH("Out", OFFSET(D28,0,MATCH("Out",D28:U28,0)+MATCH("In", OFFSET(D28,0,MATCH("Out",D28:U28,0),1,18-MATCH("Out",D28:U28,0)),0),1,18-(MATCH("Out",D28:U28,0)+MATCH("In", OFFSET(D28,0,MATCH("Out",D28:U28,0),1,18-MATCH("Out",D28:U28,0)),0))),0)))))</f>
        <v>9:00 AM - 1:00 PM</v>
      </c>
      <c r="W28" s="8" t="s">
        <v>44</v>
      </c>
      <c r="X28" s="9"/>
    </row>
    <row r="29" spans="1:24" ht="20.100000000000001" customHeight="1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6"/>
    </row>
    <row r="30" spans="1:24" s="10" customFormat="1" ht="29.1" customHeight="1">
      <c r="A30" s="90" t="str">
        <f>"THURSDAY (" &amp; TEXT($AA$1+3, "d mmm") &amp; ")"</f>
        <v>THURSDAY (10 Sep)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1"/>
    </row>
    <row r="31" spans="1:24" ht="18" customHeight="1">
      <c r="A31" s="94" t="s">
        <v>25</v>
      </c>
      <c r="B31" s="95" t="s">
        <v>26</v>
      </c>
      <c r="C31" s="96" t="s">
        <v>27</v>
      </c>
      <c r="D31" s="98" t="s">
        <v>28</v>
      </c>
      <c r="E31" s="143"/>
      <c r="F31" s="99" t="s">
        <v>29</v>
      </c>
      <c r="G31" s="143"/>
      <c r="H31" s="99" t="s">
        <v>30</v>
      </c>
      <c r="I31" s="143"/>
      <c r="J31" s="99" t="s">
        <v>31</v>
      </c>
      <c r="K31" s="143"/>
      <c r="L31" s="91" t="s">
        <v>32</v>
      </c>
      <c r="M31" s="92"/>
      <c r="N31" s="91" t="s">
        <v>33</v>
      </c>
      <c r="O31" s="92"/>
      <c r="P31" s="91" t="s">
        <v>34</v>
      </c>
      <c r="Q31" s="92"/>
      <c r="R31" s="91" t="s">
        <v>35</v>
      </c>
      <c r="S31" s="92"/>
      <c r="T31" s="91" t="s">
        <v>36</v>
      </c>
      <c r="U31" s="92"/>
      <c r="V31" s="103" t="s">
        <v>37</v>
      </c>
      <c r="W31" s="104" t="s">
        <v>38</v>
      </c>
      <c r="X31" s="105" t="s">
        <v>39</v>
      </c>
    </row>
    <row r="32" spans="1:24" ht="15.95" customHeight="1">
      <c r="A32" s="144"/>
      <c r="B32" s="145"/>
      <c r="C32" s="97"/>
      <c r="D32" s="32">
        <v>0</v>
      </c>
      <c r="E32" s="15">
        <v>30</v>
      </c>
      <c r="F32" s="16">
        <v>0</v>
      </c>
      <c r="G32" s="17">
        <v>30</v>
      </c>
      <c r="H32" s="16">
        <v>0</v>
      </c>
      <c r="I32" s="17">
        <v>30</v>
      </c>
      <c r="J32" s="16">
        <v>0</v>
      </c>
      <c r="K32" s="17">
        <v>30</v>
      </c>
      <c r="L32" s="16">
        <v>0</v>
      </c>
      <c r="M32" s="17">
        <v>30</v>
      </c>
      <c r="N32" s="16">
        <v>0</v>
      </c>
      <c r="O32" s="17">
        <v>30</v>
      </c>
      <c r="P32" s="14">
        <v>0</v>
      </c>
      <c r="Q32" s="15">
        <v>30</v>
      </c>
      <c r="R32" s="14">
        <v>0</v>
      </c>
      <c r="S32" s="15">
        <v>30</v>
      </c>
      <c r="T32" s="14">
        <v>0</v>
      </c>
      <c r="U32" s="15">
        <v>30</v>
      </c>
      <c r="V32" s="146"/>
      <c r="W32" s="101"/>
      <c r="X32" s="147"/>
    </row>
    <row r="33" spans="1:24" ht="20.100000000000001" customHeight="1">
      <c r="A33" s="88" t="s">
        <v>40</v>
      </c>
      <c r="B33" s="21" t="s">
        <v>41</v>
      </c>
      <c r="C33" s="34" t="b">
        <v>0</v>
      </c>
      <c r="D33" s="28"/>
      <c r="E33" s="23"/>
      <c r="F33" s="22"/>
      <c r="G33" s="23"/>
      <c r="H33" s="22"/>
      <c r="I33" s="23"/>
      <c r="J33" s="22"/>
      <c r="K33" s="23"/>
      <c r="L33" s="22"/>
      <c r="M33" s="23"/>
      <c r="N33" s="22"/>
      <c r="O33" s="23"/>
      <c r="P33" s="22"/>
      <c r="Q33" s="23"/>
      <c r="R33" s="22"/>
      <c r="S33" s="23"/>
      <c r="T33" s="22"/>
      <c r="U33" s="23"/>
      <c r="V33" s="38" t="str" cm="1">
        <f t="array" aca="1" ref="V33" ca="1">IF(C33=TRUE, "OFF", IF(COUNTIF(D33:U33,"In")=0, "-", IF(COUNTIF(D33:U33,"In")=1, INDEX($D$3:$U$3, MATCH("In",D33:U33,0)) &amp; " - " &amp; INDEX($D$4:$U$4, MATCH("Out",D33:U33,0)), INDEX($D$3:$U$3, MATCH("In",D33:U33,0)) &amp; " - " &amp; INDEX($D$4:$U$4, MATCH("Out",D33:U33,0)) &amp; ", " &amp; INDEX($D$3:$U$3, MATCH("Out",D33:U33,0) + MATCH("In", OFFSET(D33,0,MATCH("Out",D33:U33,0),1,18-MATCH("Out",D33:U33,0)),0)) &amp; " - " &amp; INDEX($D$4:$U$4, MATCH("Out",D33:U33,0) + MATCH("In", OFFSET(D33,0,MATCH("Out",D33:U33,0),1,18-MATCH("Out",D33:U33,0)),0) + MATCH("Out", OFFSET(D33,0,MATCH("Out",D33:U33,0)+MATCH("In", OFFSET(D33,0,MATCH("Out",D33:U33,0),1,18-MATCH("Out",D33:U33,0)),0),1,18-(MATCH("Out",D33:U33,0)+MATCH("In", OFFSET(D33,0,MATCH("Out",D33:U33,0),1,18-MATCH("Out",D33:U33,0)),0))),0)))))</f>
        <v>-</v>
      </c>
      <c r="W33" s="1" t="s">
        <v>44</v>
      </c>
      <c r="X33" s="7"/>
    </row>
    <row r="34" spans="1:24">
      <c r="A34" s="148"/>
      <c r="B34" s="24" t="s">
        <v>45</v>
      </c>
      <c r="C34" s="35" t="b">
        <v>0</v>
      </c>
      <c r="D34" s="19" t="s">
        <v>42</v>
      </c>
      <c r="E34" s="20"/>
      <c r="F34" s="19"/>
      <c r="G34" s="20"/>
      <c r="H34" s="19"/>
      <c r="I34" s="20"/>
      <c r="J34" s="19"/>
      <c r="K34" s="20" t="s">
        <v>43</v>
      </c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39" t="str" cm="1">
        <f t="array" aca="1" ref="V34" ca="1">IF(C34=TRUE, "OFF", IF(COUNTIF(D34:U34,"In")=0, "-", IF(COUNTIF(D34:U34,"In")=1, INDEX($D$3:$U$3, MATCH("In",D34:U34,0)) &amp; " - " &amp; INDEX($D$4:$U$4, MATCH("Out",D34:U34,0)), INDEX($D$3:$U$3, MATCH("In",D34:U34,0)) &amp; " - " &amp; INDEX($D$4:$U$4, MATCH("Out",D34:U34,0)) &amp; ", " &amp; INDEX($D$3:$U$3, MATCH("Out",D34:U34,0) + MATCH("In", OFFSET(D34,0,MATCH("Out",D34:U34,0),1,18-MATCH("Out",D34:U34,0)),0)) &amp; " - " &amp; INDEX($D$4:$U$4, MATCH("Out",D34:U34,0) + MATCH("In", OFFSET(D34,0,MATCH("Out",D34:U34,0),1,18-MATCH("Out",D34:U34,0)),0) + MATCH("Out", OFFSET(D34,0,MATCH("Out",D34:U34,0)+MATCH("In", OFFSET(D34,0,MATCH("Out",D34:U34,0),1,18-MATCH("Out",D34:U34,0)),0),1,18-(MATCH("Out",D34:U34,0)+MATCH("In", OFFSET(D34,0,MATCH("Out",D34:U34,0),1,18-MATCH("Out",D34:U34,0)),0))),0)))))</f>
        <v>8:00 AM - 12:00 PM</v>
      </c>
      <c r="W34" s="1" t="s">
        <v>44</v>
      </c>
      <c r="X34" s="7"/>
    </row>
    <row r="35" spans="1:24">
      <c r="A35" s="89" t="s">
        <v>46</v>
      </c>
      <c r="B35" s="18" t="s">
        <v>47</v>
      </c>
      <c r="C35" s="36" t="b">
        <v>0</v>
      </c>
      <c r="D35" s="30"/>
      <c r="E35" s="20"/>
      <c r="F35" s="19"/>
      <c r="G35" s="20" t="s">
        <v>42</v>
      </c>
      <c r="H35" s="19"/>
      <c r="I35" s="20"/>
      <c r="J35" s="19"/>
      <c r="K35" s="20"/>
      <c r="L35" s="19"/>
      <c r="M35" s="20" t="s">
        <v>43</v>
      </c>
      <c r="N35" s="19"/>
      <c r="O35" s="20"/>
      <c r="P35" s="19"/>
      <c r="Q35" s="20"/>
      <c r="R35" s="19"/>
      <c r="S35" s="20"/>
      <c r="T35" s="19"/>
      <c r="U35" s="20"/>
      <c r="V35" s="39" t="str" cm="1">
        <f t="array" aca="1" ref="V35" ca="1">IF(C35=TRUE, "OFF", IF(COUNTIF(D35:U35,"In")=0, "-", IF(COUNTIF(D35:U35,"In")=1, INDEX($D$3:$U$3, MATCH("In",D35:U35,0)) &amp; " - " &amp; INDEX($D$4:$U$4, MATCH("Out",D35:U35,0)), INDEX($D$3:$U$3, MATCH("In",D35:U35,0)) &amp; " - " &amp; INDEX($D$4:$U$4, MATCH("Out",D35:U35,0)) &amp; ", " &amp; INDEX($D$3:$U$3, MATCH("Out",D35:U35,0) + MATCH("In", OFFSET(D35,0,MATCH("Out",D35:U35,0),1,18-MATCH("Out",D35:U35,0)),0)) &amp; " - " &amp; INDEX($D$4:$U$4, MATCH("Out",D35:U35,0) + MATCH("In", OFFSET(D35,0,MATCH("Out",D35:U35,0),1,18-MATCH("Out",D35:U35,0)),0) + MATCH("Out", OFFSET(D35,0,MATCH("Out",D35:U35,0)+MATCH("In", OFFSET(D35,0,MATCH("Out",D35:U35,0),1,18-MATCH("Out",D35:U35,0)),0),1,18-(MATCH("Out",D35:U35,0)+MATCH("In", OFFSET(D35,0,MATCH("Out",D35:U35,0),1,18-MATCH("Out",D35:U35,0)),0))),0)))))</f>
        <v>9:30 AM - 1:00 PM</v>
      </c>
      <c r="W35" s="25" t="s">
        <v>44</v>
      </c>
      <c r="X35" s="7" t="s">
        <v>51</v>
      </c>
    </row>
    <row r="36" spans="1:24" ht="20.100000000000001" customHeight="1">
      <c r="A36" s="149"/>
      <c r="B36" s="13" t="s">
        <v>48</v>
      </c>
      <c r="C36" s="37" t="b">
        <v>0</v>
      </c>
      <c r="D36" s="31"/>
      <c r="E36" s="27"/>
      <c r="F36" s="19" t="s">
        <v>42</v>
      </c>
      <c r="G36" s="20"/>
      <c r="H36" s="19"/>
      <c r="I36" s="20"/>
      <c r="J36" s="19"/>
      <c r="K36" s="20"/>
      <c r="L36" s="19"/>
      <c r="M36" s="20" t="s">
        <v>43</v>
      </c>
      <c r="N36" s="26"/>
      <c r="O36" s="27"/>
      <c r="P36" s="26"/>
      <c r="Q36" s="27"/>
      <c r="R36" s="26"/>
      <c r="S36" s="27"/>
      <c r="T36" s="26"/>
      <c r="U36" s="27"/>
      <c r="V36" s="33" t="str" cm="1">
        <f t="array" aca="1" ref="V36" ca="1">IF(C36=TRUE, "OFF", IF(COUNTIF(D36:U36,"In")=0, "-", IF(COUNTIF(D36:U36,"In")=1, INDEX($D$3:$U$3, MATCH("In",D36:U36,0)) &amp; " - " &amp; INDEX($D$4:$U$4, MATCH("Out",D36:U36,0)), INDEX($D$3:$U$3, MATCH("In",D36:U36,0)) &amp; " - " &amp; INDEX($D$4:$U$4, MATCH("Out",D36:U36,0)) &amp; ", " &amp; INDEX($D$3:$U$3, MATCH("Out",D36:U36,0) + MATCH("In", OFFSET(D36,0,MATCH("Out",D36:U36,0),1,18-MATCH("Out",D36:U36,0)),0)) &amp; " - " &amp; INDEX($D$4:$U$4, MATCH("Out",D36:U36,0) + MATCH("In", OFFSET(D36,0,MATCH("Out",D36:U36,0),1,18-MATCH("Out",D36:U36,0)),0) + MATCH("Out", OFFSET(D36,0,MATCH("Out",D36:U36,0)+MATCH("In", OFFSET(D36,0,MATCH("Out",D36:U36,0),1,18-MATCH("Out",D36:U36,0)),0),1,18-(MATCH("Out",D36:U36,0)+MATCH("In", OFFSET(D36,0,MATCH("Out",D36:U36,0),1,18-MATCH("Out",D36:U36,0)),0))),0)))))</f>
        <v>9:00 AM - 1:00 PM</v>
      </c>
      <c r="W36" s="8" t="s">
        <v>44</v>
      </c>
      <c r="X36" s="9"/>
    </row>
    <row r="37" spans="1:24" ht="20.100000000000001" customHeigh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s="10" customFormat="1" ht="29.1" customHeight="1">
      <c r="A38" s="90" t="str">
        <f>"FRIDAY (" &amp; TEXT($AA$1+4, "d mmm") &amp; ")"</f>
        <v>FRIDAY (11 Sep)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</row>
    <row r="39" spans="1:24">
      <c r="A39" s="94" t="s">
        <v>25</v>
      </c>
      <c r="B39" s="95" t="s">
        <v>26</v>
      </c>
      <c r="C39" s="96" t="s">
        <v>27</v>
      </c>
      <c r="D39" s="98" t="s">
        <v>28</v>
      </c>
      <c r="E39" s="143"/>
      <c r="F39" s="99" t="s">
        <v>29</v>
      </c>
      <c r="G39" s="143"/>
      <c r="H39" s="99" t="s">
        <v>30</v>
      </c>
      <c r="I39" s="143"/>
      <c r="J39" s="99" t="s">
        <v>31</v>
      </c>
      <c r="K39" s="143"/>
      <c r="L39" s="91" t="s">
        <v>32</v>
      </c>
      <c r="M39" s="92"/>
      <c r="N39" s="91" t="s">
        <v>33</v>
      </c>
      <c r="O39" s="92"/>
      <c r="P39" s="91" t="s">
        <v>34</v>
      </c>
      <c r="Q39" s="92"/>
      <c r="R39" s="91" t="s">
        <v>35</v>
      </c>
      <c r="S39" s="92"/>
      <c r="T39" s="91" t="s">
        <v>36</v>
      </c>
      <c r="U39" s="92"/>
      <c r="V39" s="103" t="s">
        <v>37</v>
      </c>
      <c r="W39" s="104" t="s">
        <v>38</v>
      </c>
      <c r="X39" s="105" t="s">
        <v>39</v>
      </c>
    </row>
    <row r="40" spans="1:24" ht="15.95" customHeight="1">
      <c r="A40" s="144"/>
      <c r="B40" s="145"/>
      <c r="C40" s="97"/>
      <c r="D40" s="32">
        <v>0</v>
      </c>
      <c r="E40" s="15">
        <v>30</v>
      </c>
      <c r="F40" s="16">
        <v>0</v>
      </c>
      <c r="G40" s="17">
        <v>30</v>
      </c>
      <c r="H40" s="16">
        <v>0</v>
      </c>
      <c r="I40" s="17">
        <v>30</v>
      </c>
      <c r="J40" s="16">
        <v>0</v>
      </c>
      <c r="K40" s="17">
        <v>30</v>
      </c>
      <c r="L40" s="16">
        <v>0</v>
      </c>
      <c r="M40" s="17">
        <v>30</v>
      </c>
      <c r="N40" s="16">
        <v>0</v>
      </c>
      <c r="O40" s="17">
        <v>30</v>
      </c>
      <c r="P40" s="14">
        <v>0</v>
      </c>
      <c r="Q40" s="15">
        <v>30</v>
      </c>
      <c r="R40" s="14">
        <v>0</v>
      </c>
      <c r="S40" s="15">
        <v>30</v>
      </c>
      <c r="T40" s="14">
        <v>0</v>
      </c>
      <c r="U40" s="15">
        <v>30</v>
      </c>
      <c r="V40" s="146"/>
      <c r="W40" s="101"/>
      <c r="X40" s="147"/>
    </row>
    <row r="41" spans="1:24" ht="20.100000000000001" customHeight="1">
      <c r="A41" s="88" t="s">
        <v>40</v>
      </c>
      <c r="B41" s="21" t="s">
        <v>41</v>
      </c>
      <c r="C41" s="34" t="b">
        <v>0</v>
      </c>
      <c r="D41" s="28"/>
      <c r="E41" s="23"/>
      <c r="F41" s="22"/>
      <c r="G41" s="23"/>
      <c r="H41" s="22"/>
      <c r="I41" s="23"/>
      <c r="J41" s="22"/>
      <c r="K41" s="23"/>
      <c r="L41" s="22"/>
      <c r="M41" s="23"/>
      <c r="N41" s="22"/>
      <c r="O41" s="23"/>
      <c r="P41" s="22"/>
      <c r="Q41" s="23"/>
      <c r="R41" s="22"/>
      <c r="S41" s="23"/>
      <c r="T41" s="22"/>
      <c r="U41" s="23"/>
      <c r="V41" s="38" t="str" cm="1">
        <f t="array" aca="1" ref="V41" ca="1">IF(C41=TRUE, "OFF", IF(COUNTIF(D41:U41,"In")=0, "-", IF(COUNTIF(D41:U41,"In")=1, INDEX($D$3:$U$3, MATCH("In",D41:U41,0)) &amp; " - " &amp; INDEX($D$4:$U$4, MATCH("Out",D41:U41,0)), INDEX($D$3:$U$3, MATCH("In",D41:U41,0)) &amp; " - " &amp; INDEX($D$4:$U$4, MATCH("Out",D41:U41,0)) &amp; ", " &amp; INDEX($D$3:$U$3, MATCH("Out",D41:U41,0) + MATCH("In", OFFSET(D41,0,MATCH("Out",D41:U41,0),1,18-MATCH("Out",D41:U41,0)),0)) &amp; " - " &amp; INDEX($D$4:$U$4, MATCH("Out",D41:U41,0) + MATCH("In", OFFSET(D41,0,MATCH("Out",D41:U41,0),1,18-MATCH("Out",D41:U41,0)),0) + MATCH("Out", OFFSET(D41,0,MATCH("Out",D41:U41,0)+MATCH("In", OFFSET(D41,0,MATCH("Out",D41:U41,0),1,18-MATCH("Out",D41:U41,0)),0),1,18-(MATCH("Out",D41:U41,0)+MATCH("In", OFFSET(D41,0,MATCH("Out",D41:U41,0),1,18-MATCH("Out",D41:U41,0)),0))),0)))))</f>
        <v>-</v>
      </c>
      <c r="W41" s="1" t="s">
        <v>44</v>
      </c>
      <c r="X41" s="7"/>
    </row>
    <row r="42" spans="1:24" ht="20.100000000000001" customHeight="1">
      <c r="A42" s="148"/>
      <c r="B42" s="24" t="s">
        <v>45</v>
      </c>
      <c r="C42" s="35" t="b">
        <v>1</v>
      </c>
      <c r="D42" s="29"/>
      <c r="E42" s="12"/>
      <c r="F42" s="11"/>
      <c r="G42" s="12"/>
      <c r="H42" s="11"/>
      <c r="I42" s="12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39" t="str" cm="1">
        <f t="array" aca="1" ref="V42" ca="1">IF(C42=TRUE, "OFF", IF(COUNTIF(D42:U42,"In")=0, "-", IF(COUNTIF(D42:U42,"In")=1, INDEX($D$3:$U$3, MATCH("In",D42:U42,0)) &amp; " - " &amp; INDEX($D$4:$U$4, MATCH("Out",D42:U42,0)), INDEX($D$3:$U$3, MATCH("In",D42:U42,0)) &amp; " - " &amp; INDEX($D$4:$U$4, MATCH("Out",D42:U42,0)) &amp; ", " &amp; INDEX($D$3:$U$3, MATCH("Out",D42:U42,0) + MATCH("In", OFFSET(D42,0,MATCH("Out",D42:U42,0),1,18-MATCH("Out",D42:U42,0)),0)) &amp; " - " &amp; INDEX($D$4:$U$4, MATCH("Out",D42:U42,0) + MATCH("In", OFFSET(D42,0,MATCH("Out",D42:U42,0),1,18-MATCH("Out",D42:U42,0)),0) + MATCH("Out", OFFSET(D42,0,MATCH("Out",D42:U42,0)+MATCH("In", OFFSET(D42,0,MATCH("Out",D42:U42,0),1,18-MATCH("Out",D42:U42,0)),0),1,18-(MATCH("Out",D42:U42,0)+MATCH("In", OFFSET(D42,0,MATCH("Out",D42:U42,0),1,18-MATCH("Out",D42:U42,0)),0))),0)))))</f>
        <v>OFF</v>
      </c>
      <c r="W42" s="1" t="s">
        <v>44</v>
      </c>
      <c r="X42" s="7"/>
    </row>
    <row r="43" spans="1:24" ht="20.100000000000001" customHeight="1">
      <c r="A43" s="89" t="s">
        <v>46</v>
      </c>
      <c r="B43" s="18" t="s">
        <v>47</v>
      </c>
      <c r="C43" s="36" t="b">
        <v>0</v>
      </c>
      <c r="D43" s="30"/>
      <c r="E43" s="20"/>
      <c r="F43" s="19" t="s">
        <v>42</v>
      </c>
      <c r="G43" s="20"/>
      <c r="H43" s="19"/>
      <c r="I43" s="20"/>
      <c r="J43" s="19"/>
      <c r="K43" s="20"/>
      <c r="L43" s="19"/>
      <c r="M43" s="20" t="s">
        <v>43</v>
      </c>
      <c r="N43" s="19"/>
      <c r="O43" s="20"/>
      <c r="P43" s="19"/>
      <c r="Q43" s="20"/>
      <c r="R43" s="19"/>
      <c r="S43" s="20"/>
      <c r="T43" s="19"/>
      <c r="U43" s="20"/>
      <c r="V43" s="39" t="str" cm="1">
        <f t="array" aca="1" ref="V43" ca="1">IF(C43=TRUE, "OFF", IF(COUNTIF(D43:U43,"In")=0, "-", IF(COUNTIF(D43:U43,"In")=1, INDEX($D$3:$U$3, MATCH("In",D43:U43,0)) &amp; " - " &amp; INDEX($D$4:$U$4, MATCH("Out",D43:U43,0)), INDEX($D$3:$U$3, MATCH("In",D43:U43,0)) &amp; " - " &amp; INDEX($D$4:$U$4, MATCH("Out",D43:U43,0)) &amp; ", " &amp; INDEX($D$3:$U$3, MATCH("Out",D43:U43,0) + MATCH("In", OFFSET(D43,0,MATCH("Out",D43:U43,0),1,18-MATCH("Out",D43:U43,0)),0)) &amp; " - " &amp; INDEX($D$4:$U$4, MATCH("Out",D43:U43,0) + MATCH("In", OFFSET(D43,0,MATCH("Out",D43:U43,0),1,18-MATCH("Out",D43:U43,0)),0) + MATCH("Out", OFFSET(D43,0,MATCH("Out",D43:U43,0)+MATCH("In", OFFSET(D43,0,MATCH("Out",D43:U43,0),1,18-MATCH("Out",D43:U43,0)),0),1,18-(MATCH("Out",D43:U43,0)+MATCH("In", OFFSET(D43,0,MATCH("Out",D43:U43,0),1,18-MATCH("Out",D43:U43,0)),0))),0)))))</f>
        <v>9:00 AM - 1:00 PM</v>
      </c>
      <c r="W43" s="25" t="s">
        <v>44</v>
      </c>
      <c r="X43" s="7"/>
    </row>
    <row r="44" spans="1:24" ht="20.100000000000001" customHeight="1">
      <c r="A44" s="149"/>
      <c r="B44" s="13" t="s">
        <v>48</v>
      </c>
      <c r="C44" s="37" t="b">
        <v>0</v>
      </c>
      <c r="D44" s="31"/>
      <c r="E44" s="27"/>
      <c r="F44" s="19" t="s">
        <v>42</v>
      </c>
      <c r="G44" s="20"/>
      <c r="H44" s="19"/>
      <c r="I44" s="20"/>
      <c r="J44" s="19"/>
      <c r="K44" s="20"/>
      <c r="L44" s="19"/>
      <c r="M44" s="20" t="s">
        <v>43</v>
      </c>
      <c r="N44" s="26"/>
      <c r="O44" s="27"/>
      <c r="P44" s="26"/>
      <c r="Q44" s="27"/>
      <c r="R44" s="26"/>
      <c r="S44" s="27"/>
      <c r="T44" s="26"/>
      <c r="U44" s="27"/>
      <c r="V44" s="33" t="str" cm="1">
        <f t="array" aca="1" ref="V44" ca="1">IF(C44=TRUE, "OFF", IF(COUNTIF(D44:U44,"In")=0, "-", IF(COUNTIF(D44:U44,"In")=1, INDEX($D$3:$U$3, MATCH("In",D44:U44,0)) &amp; " - " &amp; INDEX($D$4:$U$4, MATCH("Out",D44:U44,0)), INDEX($D$3:$U$3, MATCH("In",D44:U44,0)) &amp; " - " &amp; INDEX($D$4:$U$4, MATCH("Out",D44:U44,0)) &amp; ", " &amp; INDEX($D$3:$U$3, MATCH("Out",D44:U44,0) + MATCH("In", OFFSET(D44,0,MATCH("Out",D44:U44,0),1,18-MATCH("Out",D44:U44,0)),0)) &amp; " - " &amp; INDEX($D$4:$U$4, MATCH("Out",D44:U44,0) + MATCH("In", OFFSET(D44,0,MATCH("Out",D44:U44,0),1,18-MATCH("Out",D44:U44,0)),0) + MATCH("Out", OFFSET(D44,0,MATCH("Out",D44:U44,0)+MATCH("In", OFFSET(D44,0,MATCH("Out",D44:U44,0),1,18-MATCH("Out",D44:U44,0)),0),1,18-(MATCH("Out",D44:U44,0)+MATCH("In", OFFSET(D44,0,MATCH("Out",D44:U44,0),1,18-MATCH("Out",D44:U44,0)),0))),0)))))</f>
        <v>9:00 AM - 1:00 PM</v>
      </c>
      <c r="W44" s="8" t="s">
        <v>44</v>
      </c>
      <c r="X44" s="9"/>
    </row>
  </sheetData>
  <mergeCells count="102">
    <mergeCell ref="A41:A42"/>
    <mergeCell ref="A43:A44"/>
    <mergeCell ref="P39:Q39"/>
    <mergeCell ref="R39:S39"/>
    <mergeCell ref="T39:U39"/>
    <mergeCell ref="V39:V40"/>
    <mergeCell ref="W39:W40"/>
    <mergeCell ref="X39:X40"/>
    <mergeCell ref="A38:X38"/>
    <mergeCell ref="A39:A40"/>
    <mergeCell ref="B39:B40"/>
    <mergeCell ref="C39:C40"/>
    <mergeCell ref="D39:E39"/>
    <mergeCell ref="F39:G39"/>
    <mergeCell ref="H39:I39"/>
    <mergeCell ref="J39:K39"/>
    <mergeCell ref="L39:M39"/>
    <mergeCell ref="N39:O39"/>
    <mergeCell ref="A33:A34"/>
    <mergeCell ref="A35:A36"/>
    <mergeCell ref="A37:X37"/>
    <mergeCell ref="J31:K31"/>
    <mergeCell ref="L31:M31"/>
    <mergeCell ref="N31:O31"/>
    <mergeCell ref="P31:Q31"/>
    <mergeCell ref="R31:S31"/>
    <mergeCell ref="T31:U31"/>
    <mergeCell ref="A25:A26"/>
    <mergeCell ref="A27:A28"/>
    <mergeCell ref="A29:X29"/>
    <mergeCell ref="A30:X30"/>
    <mergeCell ref="A31:A32"/>
    <mergeCell ref="B31:B32"/>
    <mergeCell ref="C31:C32"/>
    <mergeCell ref="D31:E31"/>
    <mergeCell ref="F31:G31"/>
    <mergeCell ref="H31:I31"/>
    <mergeCell ref="V31:V32"/>
    <mergeCell ref="W31:W32"/>
    <mergeCell ref="X31:X32"/>
    <mergeCell ref="P23:Q23"/>
    <mergeCell ref="R23:S23"/>
    <mergeCell ref="T23:U23"/>
    <mergeCell ref="V23:V24"/>
    <mergeCell ref="W23:W24"/>
    <mergeCell ref="X23:X24"/>
    <mergeCell ref="A22:X22"/>
    <mergeCell ref="A23:A24"/>
    <mergeCell ref="B23:B24"/>
    <mergeCell ref="C23:C24"/>
    <mergeCell ref="D23:E23"/>
    <mergeCell ref="F23:G23"/>
    <mergeCell ref="H23:I23"/>
    <mergeCell ref="J23:K23"/>
    <mergeCell ref="L23:M23"/>
    <mergeCell ref="N23:O23"/>
    <mergeCell ref="V15:V16"/>
    <mergeCell ref="W15:W16"/>
    <mergeCell ref="X15:X16"/>
    <mergeCell ref="A17:A18"/>
    <mergeCell ref="A19:A20"/>
    <mergeCell ref="A21:X21"/>
    <mergeCell ref="J15:K15"/>
    <mergeCell ref="L15:M15"/>
    <mergeCell ref="N15:O15"/>
    <mergeCell ref="P15:Q15"/>
    <mergeCell ref="R15:S15"/>
    <mergeCell ref="T15:U15"/>
    <mergeCell ref="A15:A16"/>
    <mergeCell ref="B15:B16"/>
    <mergeCell ref="C15:C16"/>
    <mergeCell ref="D15:E15"/>
    <mergeCell ref="F15:G15"/>
    <mergeCell ref="H15:I15"/>
    <mergeCell ref="A9:A10"/>
    <mergeCell ref="A11:A12"/>
    <mergeCell ref="A13:X13"/>
    <mergeCell ref="A14:X14"/>
    <mergeCell ref="L7:M7"/>
    <mergeCell ref="N7:O7"/>
    <mergeCell ref="P7:Q7"/>
    <mergeCell ref="R7:S7"/>
    <mergeCell ref="T7:U7"/>
    <mergeCell ref="V7:V8"/>
    <mergeCell ref="A7:A8"/>
    <mergeCell ref="B7:B8"/>
    <mergeCell ref="C7:C8"/>
    <mergeCell ref="D7:E7"/>
    <mergeCell ref="F7:G7"/>
    <mergeCell ref="H7:I7"/>
    <mergeCell ref="J7:K7"/>
    <mergeCell ref="W7:W8"/>
    <mergeCell ref="X7:X8"/>
    <mergeCell ref="A1:K1"/>
    <mergeCell ref="L1:M1"/>
    <mergeCell ref="N1:O1"/>
    <mergeCell ref="P1:Q1"/>
    <mergeCell ref="R1:S1"/>
    <mergeCell ref="T1:X1"/>
    <mergeCell ref="A2:X2"/>
    <mergeCell ref="A5:X5"/>
    <mergeCell ref="A6:X6"/>
  </mergeCells>
  <phoneticPr fontId="10" type="noConversion"/>
  <conditionalFormatting sqref="D38:U44 D30:U36 D22:U28 D14:U20 D6:U12">
    <cfRule type="expression" dxfId="186" priority="15" stopIfTrue="1">
      <formula>$C6=TRUE</formula>
    </cfRule>
    <cfRule type="expression" dxfId="185" priority="51">
      <formula>OR(COUNTIF($D6:D6,"In")&gt;COUNTIF($D6:D6,"Out"), D6="Out")</formula>
    </cfRule>
    <cfRule type="cellIs" dxfId="184" priority="52" operator="equal">
      <formula>"In"</formula>
    </cfRule>
    <cfRule type="cellIs" dxfId="183" priority="53" operator="equal">
      <formula>"Out"</formula>
    </cfRule>
  </conditionalFormatting>
  <conditionalFormatting sqref="W7:W10 W12">
    <cfRule type="cellIs" dxfId="182" priority="47" operator="equal">
      <formula>"✓ Approved"</formula>
    </cfRule>
    <cfRule type="cellIs" dxfId="181" priority="48" operator="equal">
      <formula>"Pending"</formula>
    </cfRule>
    <cfRule type="cellIs" dxfId="180" priority="49" operator="equal">
      <formula>"Rejected"</formula>
    </cfRule>
    <cfRule type="cellIs" dxfId="179" priority="50" operator="equal">
      <formula>"-"</formula>
    </cfRule>
  </conditionalFormatting>
  <conditionalFormatting sqref="W9:W10 W12">
    <cfRule type="cellIs" dxfId="178" priority="44" operator="equal">
      <formula>"Rejected"</formula>
    </cfRule>
    <cfRule type="cellIs" dxfId="177" priority="45" operator="equal">
      <formula>"Pending"</formula>
    </cfRule>
    <cfRule type="cellIs" dxfId="176" priority="46" operator="equal">
      <formula>"✓ Approved"</formula>
    </cfRule>
  </conditionalFormatting>
  <conditionalFormatting sqref="W15:W20">
    <cfRule type="cellIs" dxfId="175" priority="40" operator="equal">
      <formula>"✓ Approved"</formula>
    </cfRule>
    <cfRule type="cellIs" dxfId="174" priority="41" operator="equal">
      <formula>"Pending"</formula>
    </cfRule>
    <cfRule type="cellIs" dxfId="173" priority="42" operator="equal">
      <formula>"Rejected"</formula>
    </cfRule>
    <cfRule type="cellIs" dxfId="172" priority="43" operator="equal">
      <formula>"-"</formula>
    </cfRule>
  </conditionalFormatting>
  <conditionalFormatting sqref="W17:W20">
    <cfRule type="cellIs" dxfId="171" priority="37" operator="equal">
      <formula>"Rejected"</formula>
    </cfRule>
    <cfRule type="cellIs" dxfId="170" priority="38" operator="equal">
      <formula>"Pending"</formula>
    </cfRule>
    <cfRule type="cellIs" dxfId="169" priority="39" operator="equal">
      <formula>"✓ Approved"</formula>
    </cfRule>
  </conditionalFormatting>
  <conditionalFormatting sqref="W23:W26 W28">
    <cfRule type="cellIs" dxfId="168" priority="33" operator="equal">
      <formula>"✓ Approved"</formula>
    </cfRule>
    <cfRule type="cellIs" dxfId="167" priority="34" operator="equal">
      <formula>"Pending"</formula>
    </cfRule>
    <cfRule type="cellIs" dxfId="166" priority="35" operator="equal">
      <formula>"Rejected"</formula>
    </cfRule>
    <cfRule type="cellIs" dxfId="165" priority="36" operator="equal">
      <formula>"-"</formula>
    </cfRule>
  </conditionalFormatting>
  <conditionalFormatting sqref="W25:W26 W28">
    <cfRule type="cellIs" dxfId="164" priority="30" operator="equal">
      <formula>"Rejected"</formula>
    </cfRule>
    <cfRule type="cellIs" dxfId="163" priority="31" operator="equal">
      <formula>"Pending"</formula>
    </cfRule>
    <cfRule type="cellIs" dxfId="162" priority="32" operator="equal">
      <formula>"✓ Approved"</formula>
    </cfRule>
  </conditionalFormatting>
  <conditionalFormatting sqref="W31:W36">
    <cfRule type="cellIs" dxfId="161" priority="26" operator="equal">
      <formula>"✓ Approved"</formula>
    </cfRule>
    <cfRule type="cellIs" dxfId="160" priority="27" operator="equal">
      <formula>"Pending"</formula>
    </cfRule>
    <cfRule type="cellIs" dxfId="159" priority="28" operator="equal">
      <formula>"Rejected"</formula>
    </cfRule>
    <cfRule type="cellIs" dxfId="158" priority="29" operator="equal">
      <formula>"-"</formula>
    </cfRule>
  </conditionalFormatting>
  <conditionalFormatting sqref="W33:W36">
    <cfRule type="cellIs" dxfId="157" priority="23" operator="equal">
      <formula>"Rejected"</formula>
    </cfRule>
    <cfRule type="cellIs" dxfId="156" priority="24" operator="equal">
      <formula>"Pending"</formula>
    </cfRule>
    <cfRule type="cellIs" dxfId="155" priority="25" operator="equal">
      <formula>"✓ Approved"</formula>
    </cfRule>
  </conditionalFormatting>
  <conditionalFormatting sqref="W39:W44">
    <cfRule type="cellIs" dxfId="154" priority="19" operator="equal">
      <formula>"✓ Approved"</formula>
    </cfRule>
    <cfRule type="cellIs" dxfId="153" priority="20" operator="equal">
      <formula>"Pending"</formula>
    </cfRule>
    <cfRule type="cellIs" dxfId="152" priority="21" operator="equal">
      <formula>"Rejected"</formula>
    </cfRule>
    <cfRule type="cellIs" dxfId="151" priority="22" operator="equal">
      <formula>"-"</formula>
    </cfRule>
  </conditionalFormatting>
  <conditionalFormatting sqref="W41:W44">
    <cfRule type="cellIs" dxfId="150" priority="16" operator="equal">
      <formula>"Rejected"</formula>
    </cfRule>
    <cfRule type="cellIs" dxfId="149" priority="17" operator="equal">
      <formula>"Pending"</formula>
    </cfRule>
    <cfRule type="cellIs" dxfId="148" priority="18" operator="equal">
      <formula>"✓ Approved"</formula>
    </cfRule>
  </conditionalFormatting>
  <conditionalFormatting sqref="W11">
    <cfRule type="cellIs" dxfId="147" priority="11" operator="equal">
      <formula>"✓ Approved"</formula>
    </cfRule>
    <cfRule type="cellIs" dxfId="146" priority="12" operator="equal">
      <formula>"Pending"</formula>
    </cfRule>
    <cfRule type="cellIs" dxfId="145" priority="13" operator="equal">
      <formula>"Rejected"</formula>
    </cfRule>
    <cfRule type="cellIs" dxfId="144" priority="14" operator="equal">
      <formula>"-"</formula>
    </cfRule>
  </conditionalFormatting>
  <conditionalFormatting sqref="W11">
    <cfRule type="cellIs" dxfId="143" priority="8" operator="equal">
      <formula>"Rejected"</formula>
    </cfRule>
    <cfRule type="cellIs" dxfId="142" priority="9" operator="equal">
      <formula>"Pending"</formula>
    </cfRule>
    <cfRule type="cellIs" dxfId="141" priority="10" operator="equal">
      <formula>"✓ Approved"</formula>
    </cfRule>
  </conditionalFormatting>
  <conditionalFormatting sqref="W27">
    <cfRule type="cellIs" dxfId="140" priority="4" operator="equal">
      <formula>"✓ Approved"</formula>
    </cfRule>
    <cfRule type="cellIs" dxfId="139" priority="5" operator="equal">
      <formula>"Pending"</formula>
    </cfRule>
    <cfRule type="cellIs" dxfId="138" priority="6" operator="equal">
      <formula>"Rejected"</formula>
    </cfRule>
    <cfRule type="cellIs" dxfId="137" priority="7" operator="equal">
      <formula>"-"</formula>
    </cfRule>
  </conditionalFormatting>
  <conditionalFormatting sqref="W27">
    <cfRule type="cellIs" dxfId="136" priority="1" operator="equal">
      <formula>"Rejected"</formula>
    </cfRule>
    <cfRule type="cellIs" dxfId="135" priority="2" operator="equal">
      <formula>"Pending"</formula>
    </cfRule>
    <cfRule type="cellIs" dxfId="134" priority="3" operator="equal">
      <formula>"✓ Approved"</formula>
    </cfRule>
  </conditionalFormatting>
  <dataValidations count="1">
    <dataValidation type="list" allowBlank="1" showInputMessage="1" showErrorMessage="1" sqref="W17:W20 W33:W36 W41:W44 W9:W12 W25:W28" xr:uid="{7C3343AC-B829-49AF-972E-8440C88C5110}">
      <formula1>"✓ Approved, Pending, Rejected, 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A0DC4982-9084-4536-8CB8-51BD9C415CAE}">
          <x14:formula1>
            <xm:f>Lists!$A$2:$A$53</xm:f>
          </x14:formula1>
          <xm:sqref>R1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opLeftCell="A7" workbookViewId="0">
      <selection activeCell="C43" sqref="C43"/>
    </sheetView>
  </sheetViews>
  <sheetFormatPr defaultColWidth="8.875" defaultRowHeight="17.25"/>
  <cols>
    <col min="1" max="1" width="11" style="10" customWidth="1"/>
    <col min="2" max="2" width="15" style="10" customWidth="1"/>
    <col min="3" max="3" width="7.375" style="10" customWidth="1"/>
    <col min="4" max="21" width="5.375" style="10" customWidth="1"/>
    <col min="22" max="22" width="28.875" style="10" customWidth="1"/>
    <col min="23" max="23" width="13" style="10" customWidth="1"/>
    <col min="24" max="24" width="30.5" style="10" customWidth="1"/>
    <col min="25" max="25" width="8.875" style="10"/>
    <col min="26" max="26" width="18.875" style="10" customWidth="1"/>
    <col min="27" max="16384" width="8.875" style="10"/>
  </cols>
  <sheetData>
    <row r="1" spans="1:28" ht="33.950000000000003" customHeight="1">
      <c r="A1" s="82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82" t="s">
        <v>1</v>
      </c>
      <c r="M1" s="110"/>
      <c r="N1" s="117">
        <v>2026</v>
      </c>
      <c r="O1" s="152"/>
      <c r="P1" s="82" t="s">
        <v>2</v>
      </c>
      <c r="Q1" s="110"/>
      <c r="R1" s="117" t="s">
        <v>52</v>
      </c>
      <c r="S1" s="152"/>
      <c r="T1" s="82" t="str">
        <f>"PERIOD: " &amp; TEXT($AA$1, "d mmm") &amp; " ~ " &amp; TEXT($AA$1+4, "d mmm")</f>
        <v>PERIOD: 31 Aug ~ 4 Sep</v>
      </c>
      <c r="U1" s="138"/>
      <c r="V1" s="138"/>
      <c r="W1" s="138"/>
      <c r="X1" s="138"/>
      <c r="Z1" s="41" t="s">
        <v>4</v>
      </c>
      <c r="AA1" s="10">
        <f>DATE(N1, 1, 4) - WEEKDAY(DATE(N1, 1, 4), 2) + (VALUE(SUBSTITUTE(R1, "Week ", "")) - 1)*7 + 1</f>
        <v>46265</v>
      </c>
    </row>
    <row r="2" spans="1:28" ht="59.25" customHeight="1">
      <c r="A2" s="121" t="s">
        <v>53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1"/>
    </row>
    <row r="3" spans="1:28" ht="17.100000000000001" hidden="1" customHeight="1">
      <c r="A3" s="42"/>
      <c r="D3" s="43" t="s">
        <v>6</v>
      </c>
      <c r="E3" s="43" t="s">
        <v>7</v>
      </c>
      <c r="F3" s="43" t="s">
        <v>8</v>
      </c>
      <c r="G3" s="43" t="s">
        <v>9</v>
      </c>
      <c r="H3" s="43" t="s">
        <v>10</v>
      </c>
      <c r="I3" s="43" t="s">
        <v>11</v>
      </c>
      <c r="J3" s="43" t="s">
        <v>12</v>
      </c>
      <c r="K3" s="43" t="s">
        <v>13</v>
      </c>
      <c r="L3" s="43" t="s">
        <v>14</v>
      </c>
      <c r="M3" s="43" t="s">
        <v>15</v>
      </c>
      <c r="N3" s="43" t="s">
        <v>16</v>
      </c>
      <c r="O3" s="43" t="s">
        <v>17</v>
      </c>
      <c r="P3" s="43" t="s">
        <v>18</v>
      </c>
      <c r="Q3" s="43" t="s">
        <v>19</v>
      </c>
      <c r="R3" s="43" t="s">
        <v>20</v>
      </c>
      <c r="S3" s="43" t="s">
        <v>21</v>
      </c>
      <c r="T3" s="43" t="s">
        <v>22</v>
      </c>
      <c r="U3" s="43" t="s">
        <v>23</v>
      </c>
      <c r="X3" s="40"/>
    </row>
    <row r="4" spans="1:28" ht="17.100000000000001" hidden="1" customHeight="1">
      <c r="A4" s="42"/>
      <c r="D4" s="43" t="s">
        <v>7</v>
      </c>
      <c r="E4" s="43" t="s">
        <v>8</v>
      </c>
      <c r="F4" s="43" t="s">
        <v>9</v>
      </c>
      <c r="G4" s="43" t="s">
        <v>10</v>
      </c>
      <c r="H4" s="43" t="s">
        <v>11</v>
      </c>
      <c r="I4" s="43" t="s">
        <v>12</v>
      </c>
      <c r="J4" s="43" t="s">
        <v>13</v>
      </c>
      <c r="K4" s="43" t="s">
        <v>14</v>
      </c>
      <c r="L4" s="43" t="s">
        <v>15</v>
      </c>
      <c r="M4" s="43" t="s">
        <v>16</v>
      </c>
      <c r="N4" s="43" t="s">
        <v>17</v>
      </c>
      <c r="O4" s="43" t="s">
        <v>18</v>
      </c>
      <c r="P4" s="43" t="s">
        <v>19</v>
      </c>
      <c r="Q4" s="43" t="s">
        <v>20</v>
      </c>
      <c r="R4" s="43" t="s">
        <v>21</v>
      </c>
      <c r="S4" s="43" t="s">
        <v>22</v>
      </c>
      <c r="T4" s="43" t="s">
        <v>23</v>
      </c>
      <c r="U4" s="43" t="s">
        <v>24</v>
      </c>
      <c r="X4" s="40"/>
    </row>
    <row r="5" spans="1:28">
      <c r="A5" s="124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6"/>
    </row>
    <row r="6" spans="1:28" ht="29.1" customHeight="1">
      <c r="A6" s="135" t="str">
        <f>"MONDAY (" &amp; TEXT($AA$1, "d mmm") &amp; ")"</f>
        <v>MONDAY (31 Aug)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4"/>
    </row>
    <row r="7" spans="1:28">
      <c r="A7" s="130" t="s">
        <v>25</v>
      </c>
      <c r="B7" s="111" t="s">
        <v>26</v>
      </c>
      <c r="C7" s="122" t="s">
        <v>27</v>
      </c>
      <c r="D7" s="129" t="s">
        <v>28</v>
      </c>
      <c r="E7" s="155"/>
      <c r="F7" s="112" t="s">
        <v>29</v>
      </c>
      <c r="G7" s="155"/>
      <c r="H7" s="112" t="s">
        <v>30</v>
      </c>
      <c r="I7" s="155"/>
      <c r="J7" s="112" t="s">
        <v>31</v>
      </c>
      <c r="K7" s="155"/>
      <c r="L7" s="113" t="s">
        <v>32</v>
      </c>
      <c r="M7" s="114"/>
      <c r="N7" s="113" t="s">
        <v>33</v>
      </c>
      <c r="O7" s="114"/>
      <c r="P7" s="113" t="s">
        <v>34</v>
      </c>
      <c r="Q7" s="114"/>
      <c r="R7" s="113" t="s">
        <v>35</v>
      </c>
      <c r="S7" s="114"/>
      <c r="T7" s="113" t="s">
        <v>36</v>
      </c>
      <c r="U7" s="114"/>
      <c r="V7" s="115" t="s">
        <v>37</v>
      </c>
      <c r="W7" s="136" t="s">
        <v>38</v>
      </c>
      <c r="X7" s="116" t="s">
        <v>39</v>
      </c>
    </row>
    <row r="8" spans="1:28" ht="15.95" customHeight="1" thickBot="1">
      <c r="A8" s="156"/>
      <c r="B8" s="157"/>
      <c r="C8" s="123"/>
      <c r="D8" s="44">
        <v>0</v>
      </c>
      <c r="E8" s="45">
        <v>30</v>
      </c>
      <c r="F8" s="46">
        <v>0</v>
      </c>
      <c r="G8" s="47">
        <v>30</v>
      </c>
      <c r="H8" s="46">
        <v>0</v>
      </c>
      <c r="I8" s="47">
        <v>30</v>
      </c>
      <c r="J8" s="46">
        <v>0</v>
      </c>
      <c r="K8" s="47">
        <v>30</v>
      </c>
      <c r="L8" s="46">
        <v>0</v>
      </c>
      <c r="M8" s="47">
        <v>30</v>
      </c>
      <c r="N8" s="46">
        <v>0</v>
      </c>
      <c r="O8" s="47">
        <v>30</v>
      </c>
      <c r="P8" s="48">
        <v>0</v>
      </c>
      <c r="Q8" s="45">
        <v>30</v>
      </c>
      <c r="R8" s="48">
        <v>0</v>
      </c>
      <c r="S8" s="45">
        <v>30</v>
      </c>
      <c r="T8" s="48">
        <v>0</v>
      </c>
      <c r="U8" s="45">
        <v>30</v>
      </c>
      <c r="V8" s="158"/>
      <c r="W8" s="132"/>
      <c r="X8" s="159"/>
    </row>
    <row r="9" spans="1:28" ht="20.100000000000001" customHeight="1">
      <c r="A9" s="128" t="s">
        <v>40</v>
      </c>
      <c r="B9" s="49" t="s">
        <v>41</v>
      </c>
      <c r="C9" s="50" t="b">
        <v>0</v>
      </c>
      <c r="D9" s="51"/>
      <c r="E9" s="52"/>
      <c r="F9" s="53"/>
      <c r="G9" s="52"/>
      <c r="H9" s="53"/>
      <c r="I9" s="52"/>
      <c r="J9" s="53"/>
      <c r="K9" s="52"/>
      <c r="L9" s="53" t="s">
        <v>42</v>
      </c>
      <c r="M9" s="52"/>
      <c r="N9" s="53"/>
      <c r="O9" s="52"/>
      <c r="P9" s="53"/>
      <c r="Q9" s="52"/>
      <c r="R9" s="53"/>
      <c r="S9" s="52"/>
      <c r="T9" s="53"/>
      <c r="U9" s="52" t="s">
        <v>43</v>
      </c>
      <c r="V9" s="54" t="str" cm="1">
        <f t="array" aca="1" ref="V9" ca="1">IF(C9=TRUE, "OFF", IF(COUNTIF(D9:U9,"In")=0, "-", IF(COUNTIF(D9:U9,"In")=1, INDEX($D$3:$U$3, MATCH("In",D9:U9,0)) &amp; " - " &amp; INDEX($D$4:$U$4, MATCH("Out",D9:U9,0)), INDEX($D$3:$U$3, MATCH("In",D9:U9,0)) &amp; " - " &amp; INDEX($D$4:$U$4, MATCH("Out",D9:U9,0)) &amp; ", " &amp; INDEX($D$3:$U$3, MATCH("Out",D9:U9,0) + MATCH("In", OFFSET(D9,0,MATCH("Out",D9:U9,0),1,18-MATCH("Out",D9:U9,0)),0)) &amp; " - " &amp; INDEX($D$4:$U$4, MATCH("Out",D9:U9,0) + MATCH("In", OFFSET(D9,0,MATCH("Out",D9:U9,0),1,18-MATCH("Out",D9:U9,0)),0) + MATCH("Out", OFFSET(D9,0,MATCH("Out",D9:U9,0)+MATCH("In", OFFSET(D9,0,MATCH("Out",D9:U9,0),1,18-MATCH("Out",D9:U9,0)),0),1,18-(MATCH("Out",D9:U9,0)+MATCH("In", OFFSET(D9,0,MATCH("Out",D9:U9,0),1,18-MATCH("Out",D9:U9,0)),0))),0)))))</f>
        <v>12:00 PM - 5:00 PM</v>
      </c>
      <c r="W9" s="68" t="s">
        <v>54</v>
      </c>
      <c r="X9" s="56"/>
    </row>
    <row r="10" spans="1:28" ht="20.100000000000001" customHeight="1">
      <c r="A10" s="160"/>
      <c r="B10" s="57" t="s">
        <v>45</v>
      </c>
      <c r="C10" s="58" t="b">
        <v>0</v>
      </c>
      <c r="D10" s="59" t="s">
        <v>42</v>
      </c>
      <c r="E10" s="60"/>
      <c r="F10" s="61"/>
      <c r="G10" s="60"/>
      <c r="H10" s="61"/>
      <c r="I10" s="60"/>
      <c r="J10" s="61"/>
      <c r="K10" s="60" t="s">
        <v>43</v>
      </c>
      <c r="L10" s="61"/>
      <c r="M10" s="60"/>
      <c r="N10" s="61"/>
      <c r="O10" s="60"/>
      <c r="P10" s="61"/>
      <c r="Q10" s="60"/>
      <c r="R10" s="61"/>
      <c r="S10" s="60"/>
      <c r="T10" s="61"/>
      <c r="U10" s="60"/>
      <c r="V10" s="62" t="str" cm="1">
        <f t="array" aca="1" ref="V10" ca="1">IF(C10=TRUE, "OFF", IF(COUNTIF(D10:U10,"In")=0, "-", IF(COUNTIF(D10:U10,"In")=1, INDEX($D$3:$U$3, MATCH("In",D10:U10,0)) &amp; " - " &amp; INDEX($D$4:$U$4, MATCH("Out",D10:U10,0)), INDEX($D$3:$U$3, MATCH("In",D10:U10,0)) &amp; " - " &amp; INDEX($D$4:$U$4, MATCH("Out",D10:U10,0)) &amp; ", " &amp; INDEX($D$3:$U$3, MATCH("Out",D10:U10,0) + MATCH("In", OFFSET(D10,0,MATCH("Out",D10:U10,0),1,18-MATCH("Out",D10:U10,0)),0)) &amp; " - " &amp; INDEX($D$4:$U$4, MATCH("Out",D10:U10,0) + MATCH("In", OFFSET(D10,0,MATCH("Out",D10:U10,0),1,18-MATCH("Out",D10:U10,0)),0) + MATCH("Out", OFFSET(D10,0,MATCH("Out",D10:U10,0)+MATCH("In", OFFSET(D10,0,MATCH("Out",D10:U10,0),1,18-MATCH("Out",D10:U10,0)),0),1,18-(MATCH("Out",D10:U10,0)+MATCH("In", OFFSET(D10,0,MATCH("Out",D10:U10,0),1,18-MATCH("Out",D10:U10,0)),0))),0)))))</f>
        <v>8:00 AM - 12:00 PM</v>
      </c>
      <c r="W10" s="68" t="s">
        <v>54</v>
      </c>
      <c r="X10" s="56"/>
    </row>
    <row r="11" spans="1:28" ht="20.100000000000001" customHeight="1">
      <c r="A11" s="119" t="s">
        <v>46</v>
      </c>
      <c r="B11" s="63" t="s">
        <v>47</v>
      </c>
      <c r="C11" s="64" t="b">
        <v>0</v>
      </c>
      <c r="D11" s="65"/>
      <c r="E11" s="66"/>
      <c r="F11" s="67" t="s">
        <v>55</v>
      </c>
      <c r="G11" s="66"/>
      <c r="H11" s="67"/>
      <c r="I11" s="66"/>
      <c r="J11" s="67"/>
      <c r="K11" s="66"/>
      <c r="L11" s="67"/>
      <c r="M11" s="66" t="s">
        <v>56</v>
      </c>
      <c r="N11" s="67"/>
      <c r="O11" s="66"/>
      <c r="P11" s="67"/>
      <c r="Q11" s="66"/>
      <c r="R11" s="67"/>
      <c r="S11" s="66"/>
      <c r="T11" s="67"/>
      <c r="U11" s="66"/>
      <c r="V11" s="62" t="str" cm="1">
        <f t="array" aca="1" ref="V11" ca="1">IF(C11=TRUE, "OFF", IF(COUNTIF(D11:U11,"In")=0, "-", IF(COUNTIF(D11:U11,"In")=1, INDEX($D$3:$U$3, MATCH("In",D11:U11,0)) &amp; " - " &amp; INDEX($D$4:$U$4, MATCH("Out",D11:U11,0)), INDEX($D$3:$U$3, MATCH("In",D11:U11,0)) &amp; " - " &amp; INDEX($D$4:$U$4, MATCH("Out",D11:U11,0)) &amp; ", " &amp; INDEX($D$3:$U$3, MATCH("Out",D11:U11,0) + MATCH("In", OFFSET(D11,0,MATCH("Out",D11:U11,0),1,18-MATCH("Out",D11:U11,0)),0)) &amp; " - " &amp; INDEX($D$4:$U$4, MATCH("Out",D11:U11,0) + MATCH("In", OFFSET(D11,0,MATCH("Out",D11:U11,0),1,18-MATCH("Out",D11:U11,0)),0) + MATCH("Out", OFFSET(D11,0,MATCH("Out",D11:U11,0)+MATCH("In", OFFSET(D11,0,MATCH("Out",D11:U11,0),1,18-MATCH("Out",D11:U11,0)),0),1,18-(MATCH("Out",D11:U11,0)+MATCH("In", OFFSET(D11,0,MATCH("Out",D11:U11,0),1,18-MATCH("Out",D11:U11,0)),0))),0)))))</f>
        <v>9:00 AM - 1:00 PM</v>
      </c>
      <c r="W11" s="68" t="s">
        <v>54</v>
      </c>
      <c r="X11" s="56"/>
    </row>
    <row r="12" spans="1:28" ht="20.100000000000001" customHeight="1">
      <c r="A12" s="161"/>
      <c r="B12" s="69" t="s">
        <v>44</v>
      </c>
      <c r="C12" s="70" t="b">
        <v>0</v>
      </c>
      <c r="D12" s="71"/>
      <c r="E12" s="72"/>
      <c r="F12" s="73"/>
      <c r="G12" s="72"/>
      <c r="H12" s="73"/>
      <c r="I12" s="72"/>
      <c r="J12" s="73"/>
      <c r="K12" s="72"/>
      <c r="L12" s="73"/>
      <c r="M12" s="72"/>
      <c r="N12" s="73"/>
      <c r="O12" s="72"/>
      <c r="P12" s="73"/>
      <c r="Q12" s="72"/>
      <c r="R12" s="73"/>
      <c r="S12" s="72"/>
      <c r="T12" s="73"/>
      <c r="U12" s="72"/>
      <c r="V12" s="74" t="str" cm="1">
        <f t="array" aca="1" ref="V12" ca="1">IF(C12=TRUE, "OFF", IF(COUNTIF(D12:U12,"In")=0, "-", IF(COUNTIF(D12:U12,"In")=1, INDEX($D$3:$U$3, MATCH("In",D12:U12,0)) &amp; " - " &amp; INDEX($D$4:$U$4, MATCH("Out",D12:U12,0)), INDEX($D$3:$U$3, MATCH("In",D12:U12,0)) &amp; " - " &amp; INDEX($D$4:$U$4, MATCH("Out",D12:U12,0)) &amp; ", " &amp; INDEX($D$3:$U$3, MATCH("Out",D12:U12,0) + MATCH("In", OFFSET(D12,0,MATCH("Out",D12:U12,0),1,18-MATCH("Out",D12:U12,0)),0)) &amp; " - " &amp; INDEX($D$4:$U$4, MATCH("Out",D12:U12,0) + MATCH("In", OFFSET(D12,0,MATCH("Out",D12:U12,0),1,18-MATCH("Out",D12:U12,0)),0) + MATCH("Out", OFFSET(D12,0,MATCH("Out",D12:U12,0)+MATCH("In", OFFSET(D12,0,MATCH("Out",D12:U12,0),1,18-MATCH("Out",D12:U12,0)),0),1,18-(MATCH("Out",D12:U12,0)+MATCH("In", OFFSET(D12,0,MATCH("Out",D12:U12,0),1,18-MATCH("Out",D12:U12,0)),0))),0)))))</f>
        <v>-</v>
      </c>
      <c r="W12" s="75" t="s">
        <v>44</v>
      </c>
      <c r="X12" s="76"/>
    </row>
    <row r="13" spans="1:28" ht="20.100000000000001" customHeight="1">
      <c r="A13" s="12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</row>
    <row r="14" spans="1:28" ht="29.1" customHeight="1">
      <c r="A14" s="118" t="str">
        <f>"TUESDAY (" &amp; TEXT($AA$1+1, "d mmm") &amp; ")"</f>
        <v>TUESDAY (1 Sep)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3"/>
      <c r="AB14" s="77"/>
    </row>
    <row r="15" spans="1:28" ht="18" customHeight="1" thickBot="1">
      <c r="A15" s="130" t="s">
        <v>25</v>
      </c>
      <c r="B15" s="111" t="s">
        <v>26</v>
      </c>
      <c r="C15" s="122" t="s">
        <v>27</v>
      </c>
      <c r="D15" s="129" t="s">
        <v>28</v>
      </c>
      <c r="E15" s="155"/>
      <c r="F15" s="112" t="s">
        <v>29</v>
      </c>
      <c r="G15" s="155"/>
      <c r="H15" s="112" t="s">
        <v>30</v>
      </c>
      <c r="I15" s="155"/>
      <c r="J15" s="112" t="s">
        <v>31</v>
      </c>
      <c r="K15" s="155"/>
      <c r="L15" s="113" t="s">
        <v>32</v>
      </c>
      <c r="M15" s="114"/>
      <c r="N15" s="113" t="s">
        <v>33</v>
      </c>
      <c r="O15" s="114"/>
      <c r="P15" s="113" t="s">
        <v>34</v>
      </c>
      <c r="Q15" s="114"/>
      <c r="R15" s="113" t="s">
        <v>35</v>
      </c>
      <c r="S15" s="114"/>
      <c r="T15" s="113" t="s">
        <v>36</v>
      </c>
      <c r="U15" s="114"/>
      <c r="V15" s="120" t="s">
        <v>37</v>
      </c>
      <c r="W15" s="131" t="s">
        <v>38</v>
      </c>
      <c r="X15" s="127" t="s">
        <v>39</v>
      </c>
    </row>
    <row r="16" spans="1:28" ht="15.95" customHeight="1" thickBot="1">
      <c r="A16" s="156"/>
      <c r="B16" s="157"/>
      <c r="C16" s="123"/>
      <c r="D16" s="44">
        <v>0</v>
      </c>
      <c r="E16" s="45">
        <v>30</v>
      </c>
      <c r="F16" s="46">
        <v>0</v>
      </c>
      <c r="G16" s="47">
        <v>30</v>
      </c>
      <c r="H16" s="46">
        <v>0</v>
      </c>
      <c r="I16" s="47">
        <v>30</v>
      </c>
      <c r="J16" s="46">
        <v>0</v>
      </c>
      <c r="K16" s="47">
        <v>30</v>
      </c>
      <c r="L16" s="46">
        <v>0</v>
      </c>
      <c r="M16" s="47">
        <v>30</v>
      </c>
      <c r="N16" s="46">
        <v>0</v>
      </c>
      <c r="O16" s="47">
        <v>30</v>
      </c>
      <c r="P16" s="48">
        <v>0</v>
      </c>
      <c r="Q16" s="45">
        <v>30</v>
      </c>
      <c r="R16" s="48">
        <v>0</v>
      </c>
      <c r="S16" s="45">
        <v>30</v>
      </c>
      <c r="T16" s="48">
        <v>0</v>
      </c>
      <c r="U16" s="45">
        <v>30</v>
      </c>
      <c r="V16" s="158"/>
      <c r="W16" s="132"/>
      <c r="X16" s="159"/>
    </row>
    <row r="17" spans="1:24" ht="20.100000000000001" customHeight="1">
      <c r="A17" s="128" t="s">
        <v>40</v>
      </c>
      <c r="B17" s="49" t="s">
        <v>41</v>
      </c>
      <c r="C17" s="50" t="b">
        <v>1</v>
      </c>
      <c r="D17" s="51"/>
      <c r="E17" s="52"/>
      <c r="F17" s="53"/>
      <c r="G17" s="52"/>
      <c r="H17" s="53"/>
      <c r="I17" s="52"/>
      <c r="J17" s="53"/>
      <c r="K17" s="52"/>
      <c r="L17" s="53"/>
      <c r="M17" s="52"/>
      <c r="N17" s="53"/>
      <c r="O17" s="52"/>
      <c r="P17" s="53"/>
      <c r="Q17" s="52"/>
      <c r="R17" s="53"/>
      <c r="S17" s="52"/>
      <c r="T17" s="53"/>
      <c r="U17" s="52"/>
      <c r="V17" s="54" t="str" cm="1">
        <f t="array" aca="1" ref="V17" ca="1">IF(C17=TRUE, "OFF", IF(COUNTIF(D17:U17,"In")=0, "-", IF(COUNTIF(D17:U17,"In")=1, INDEX($D$3:$U$3, MATCH("In",D17:U17,0)) &amp; " - " &amp; INDEX($D$4:$U$4, MATCH("Out",D17:U17,0)), INDEX($D$3:$U$3, MATCH("In",D17:U17,0)) &amp; " - " &amp; INDEX($D$4:$U$4, MATCH("Out",D17:U17,0)) &amp; ", " &amp; INDEX($D$3:$U$3, MATCH("Out",D17:U17,0) + MATCH("In", OFFSET(D17,0,MATCH("Out",D17:U17,0),1,18-MATCH("Out",D17:U17,0)),0)) &amp; " - " &amp; INDEX($D$4:$U$4, MATCH("Out",D17:U17,0) + MATCH("In", OFFSET(D17,0,MATCH("Out",D17:U17,0),1,18-MATCH("Out",D17:U17,0)),0) + MATCH("Out", OFFSET(D17,0,MATCH("Out",D17:U17,0)+MATCH("In", OFFSET(D17,0,MATCH("Out",D17:U17,0),1,18-MATCH("Out",D17:U17,0)),0),1,18-(MATCH("Out",D17:U17,0)+MATCH("In", OFFSET(D17,0,MATCH("Out",D17:U17,0),1,18-MATCH("Out",D17:U17,0)),0))),0)))))</f>
        <v>OFF</v>
      </c>
      <c r="W17" s="55" t="s">
        <v>57</v>
      </c>
      <c r="X17" s="56"/>
    </row>
    <row r="18" spans="1:24" ht="20.100000000000001" customHeight="1">
      <c r="A18" s="160"/>
      <c r="B18" s="57" t="s">
        <v>45</v>
      </c>
      <c r="C18" s="58" t="b">
        <v>0</v>
      </c>
      <c r="D18" s="59" t="s">
        <v>42</v>
      </c>
      <c r="E18" s="60"/>
      <c r="F18" s="61"/>
      <c r="G18" s="60"/>
      <c r="H18" s="61"/>
      <c r="I18" s="60"/>
      <c r="J18" s="61"/>
      <c r="K18" s="60" t="s">
        <v>43</v>
      </c>
      <c r="L18" s="61"/>
      <c r="M18" s="60"/>
      <c r="N18" s="61"/>
      <c r="O18" s="60"/>
      <c r="P18" s="61"/>
      <c r="Q18" s="60"/>
      <c r="R18" s="61"/>
      <c r="S18" s="60"/>
      <c r="T18" s="61"/>
      <c r="U18" s="60"/>
      <c r="V18" s="62" t="str" cm="1">
        <f t="array" aca="1" ref="V18" ca="1">IF(C18=TRUE, "OFF", IF(COUNTIF(D18:U18,"In")=0, "-", IF(COUNTIF(D18:U18,"In")=1, INDEX($D$3:$U$3, MATCH("In",D18:U18,0)) &amp; " - " &amp; INDEX($D$4:$U$4, MATCH("Out",D18:U18,0)), INDEX($D$3:$U$3, MATCH("In",D18:U18,0)) &amp; " - " &amp; INDEX($D$4:$U$4, MATCH("Out",D18:U18,0)) &amp; ", " &amp; INDEX($D$3:$U$3, MATCH("Out",D18:U18,0) + MATCH("In", OFFSET(D18,0,MATCH("Out",D18:U18,0),1,18-MATCH("Out",D18:U18,0)),0)) &amp; " - " &amp; INDEX($D$4:$U$4, MATCH("Out",D18:U18,0) + MATCH("In", OFFSET(D18,0,MATCH("Out",D18:U18,0),1,18-MATCH("Out",D18:U18,0)),0) + MATCH("Out", OFFSET(D18,0,MATCH("Out",D18:U18,0)+MATCH("In", OFFSET(D18,0,MATCH("Out",D18:U18,0),1,18-MATCH("Out",D18:U18,0)),0),1,18-(MATCH("Out",D18:U18,0)+MATCH("In", OFFSET(D18,0,MATCH("Out",D18:U18,0),1,18-MATCH("Out",D18:U18,0)),0))),0)))))</f>
        <v>8:00 AM - 12:00 PM</v>
      </c>
      <c r="W18" s="68" t="s">
        <v>54</v>
      </c>
      <c r="X18" s="56"/>
    </row>
    <row r="19" spans="1:24" ht="20.100000000000001" customHeight="1">
      <c r="A19" s="119" t="s">
        <v>46</v>
      </c>
      <c r="B19" s="63" t="s">
        <v>47</v>
      </c>
      <c r="C19" s="64" t="b">
        <v>0</v>
      </c>
      <c r="D19" s="65"/>
      <c r="E19" s="66"/>
      <c r="F19" s="67" t="s">
        <v>55</v>
      </c>
      <c r="G19" s="66"/>
      <c r="H19" s="67"/>
      <c r="I19" s="66"/>
      <c r="J19" s="67"/>
      <c r="K19" s="66"/>
      <c r="L19" s="67"/>
      <c r="M19" s="66" t="s">
        <v>56</v>
      </c>
      <c r="N19" s="67"/>
      <c r="O19" s="66"/>
      <c r="P19" s="67"/>
      <c r="Q19" s="66"/>
      <c r="R19" s="67"/>
      <c r="S19" s="66"/>
      <c r="T19" s="67"/>
      <c r="U19" s="66"/>
      <c r="V19" s="62" t="str" cm="1">
        <f t="array" aca="1" ref="V19" ca="1">IF(C19=TRUE, "OFF", IF(COUNTIF(D19:U19,"In")=0, "-", IF(COUNTIF(D19:U19,"In")=1, INDEX($D$3:$U$3, MATCH("In",D19:U19,0)) &amp; " - " &amp; INDEX($D$4:$U$4, MATCH("Out",D19:U19,0)), INDEX($D$3:$U$3, MATCH("In",D19:U19,0)) &amp; " - " &amp; INDEX($D$4:$U$4, MATCH("Out",D19:U19,0)) &amp; ", " &amp; INDEX($D$3:$U$3, MATCH("Out",D19:U19,0) + MATCH("In", OFFSET(D19,0,MATCH("Out",D19:U19,0),1,18-MATCH("Out",D19:U19,0)),0)) &amp; " - " &amp; INDEX($D$4:$U$4, MATCH("Out",D19:U19,0) + MATCH("In", OFFSET(D19,0,MATCH("Out",D19:U19,0),1,18-MATCH("Out",D19:U19,0)),0) + MATCH("Out", OFFSET(D19,0,MATCH("Out",D19:U19,0)+MATCH("In", OFFSET(D19,0,MATCH("Out",D19:U19,0),1,18-MATCH("Out",D19:U19,0)),0),1,18-(MATCH("Out",D19:U19,0)+MATCH("In", OFFSET(D19,0,MATCH("Out",D19:U19,0),1,18-MATCH("Out",D19:U19,0)),0))),0)))))</f>
        <v>9:00 AM - 1:00 PM</v>
      </c>
      <c r="W19" s="68" t="s">
        <v>54</v>
      </c>
      <c r="X19" s="56"/>
    </row>
    <row r="20" spans="1:24" ht="20.100000000000001" customHeight="1">
      <c r="A20" s="161"/>
      <c r="B20" s="69" t="s">
        <v>44</v>
      </c>
      <c r="C20" s="70" t="b">
        <v>0</v>
      </c>
      <c r="D20" s="71"/>
      <c r="E20" s="72"/>
      <c r="F20" s="73"/>
      <c r="G20" s="72"/>
      <c r="H20" s="73"/>
      <c r="I20" s="72"/>
      <c r="J20" s="73"/>
      <c r="K20" s="72"/>
      <c r="L20" s="73"/>
      <c r="M20" s="72"/>
      <c r="N20" s="73"/>
      <c r="O20" s="72"/>
      <c r="P20" s="73"/>
      <c r="Q20" s="72"/>
      <c r="R20" s="73"/>
      <c r="S20" s="72"/>
      <c r="T20" s="73"/>
      <c r="U20" s="72"/>
      <c r="V20" s="74" t="str" cm="1">
        <f t="array" aca="1" ref="V20" ca="1">IF(C20=TRUE, "OFF", IF(COUNTIF(D20:U20,"In")=0, "-", IF(COUNTIF(D20:U20,"In")=1, INDEX($D$3:$U$3, MATCH("In",D20:U20,0)) &amp; " - " &amp; INDEX($D$4:$U$4, MATCH("Out",D20:U20,0)), INDEX($D$3:$U$3, MATCH("In",D20:U20,0)) &amp; " - " &amp; INDEX($D$4:$U$4, MATCH("Out",D20:U20,0)) &amp; ", " &amp; INDEX($D$3:$U$3, MATCH("Out",D20:U20,0) + MATCH("In", OFFSET(D20,0,MATCH("Out",D20:U20,0),1,18-MATCH("Out",D20:U20,0)),0)) &amp; " - " &amp; INDEX($D$4:$U$4, MATCH("Out",D20:U20,0) + MATCH("In", OFFSET(D20,0,MATCH("Out",D20:U20,0),1,18-MATCH("Out",D20:U20,0)),0) + MATCH("Out", OFFSET(D20,0,MATCH("Out",D20:U20,0)+MATCH("In", OFFSET(D20,0,MATCH("Out",D20:U20,0),1,18-MATCH("Out",D20:U20,0)),0),1,18-(MATCH("Out",D20:U20,0)+MATCH("In", OFFSET(D20,0,MATCH("Out",D20:U20,0),1,18-MATCH("Out",D20:U20,0)),0))),0)))))</f>
        <v>-</v>
      </c>
      <c r="W20" s="75" t="s">
        <v>44</v>
      </c>
      <c r="X20" s="76"/>
    </row>
    <row r="21" spans="1:24" ht="20.100000000000001" customHeight="1">
      <c r="A21" s="12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</row>
    <row r="22" spans="1:24" ht="29.1" customHeight="1">
      <c r="A22" s="118" t="str">
        <f>"WEDNESDAY (" &amp; TEXT($AA$1+2, "d mmm") &amp; ")"</f>
        <v>WEDNESDAY (2 Sep)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3"/>
    </row>
    <row r="23" spans="1:24" ht="18" customHeight="1" thickBot="1">
      <c r="A23" s="130" t="s">
        <v>25</v>
      </c>
      <c r="B23" s="111" t="s">
        <v>26</v>
      </c>
      <c r="C23" s="122" t="s">
        <v>27</v>
      </c>
      <c r="D23" s="129" t="s">
        <v>28</v>
      </c>
      <c r="E23" s="155"/>
      <c r="F23" s="112" t="s">
        <v>29</v>
      </c>
      <c r="G23" s="155"/>
      <c r="H23" s="112" t="s">
        <v>30</v>
      </c>
      <c r="I23" s="155"/>
      <c r="J23" s="112" t="s">
        <v>31</v>
      </c>
      <c r="K23" s="155"/>
      <c r="L23" s="113" t="s">
        <v>32</v>
      </c>
      <c r="M23" s="114"/>
      <c r="N23" s="113" t="s">
        <v>33</v>
      </c>
      <c r="O23" s="114"/>
      <c r="P23" s="113" t="s">
        <v>34</v>
      </c>
      <c r="Q23" s="114"/>
      <c r="R23" s="113" t="s">
        <v>35</v>
      </c>
      <c r="S23" s="114"/>
      <c r="T23" s="113" t="s">
        <v>36</v>
      </c>
      <c r="U23" s="114"/>
      <c r="V23" s="120" t="s">
        <v>37</v>
      </c>
      <c r="W23" s="131" t="s">
        <v>38</v>
      </c>
      <c r="X23" s="127" t="s">
        <v>39</v>
      </c>
    </row>
    <row r="24" spans="1:24" ht="15.95" customHeight="1" thickBot="1">
      <c r="A24" s="156"/>
      <c r="B24" s="157"/>
      <c r="C24" s="123"/>
      <c r="D24" s="44">
        <v>0</v>
      </c>
      <c r="E24" s="45">
        <v>30</v>
      </c>
      <c r="F24" s="46">
        <v>0</v>
      </c>
      <c r="G24" s="47">
        <v>30</v>
      </c>
      <c r="H24" s="46">
        <v>0</v>
      </c>
      <c r="I24" s="47">
        <v>30</v>
      </c>
      <c r="J24" s="46">
        <v>0</v>
      </c>
      <c r="K24" s="47">
        <v>30</v>
      </c>
      <c r="L24" s="46">
        <v>0</v>
      </c>
      <c r="M24" s="47">
        <v>30</v>
      </c>
      <c r="N24" s="46">
        <v>0</v>
      </c>
      <c r="O24" s="47">
        <v>30</v>
      </c>
      <c r="P24" s="48">
        <v>0</v>
      </c>
      <c r="Q24" s="45">
        <v>30</v>
      </c>
      <c r="R24" s="48">
        <v>0</v>
      </c>
      <c r="S24" s="45">
        <v>30</v>
      </c>
      <c r="T24" s="48">
        <v>0</v>
      </c>
      <c r="U24" s="45">
        <v>30</v>
      </c>
      <c r="V24" s="158"/>
      <c r="W24" s="132"/>
      <c r="X24" s="159"/>
    </row>
    <row r="25" spans="1:24" ht="20.100000000000001" customHeight="1">
      <c r="A25" s="128" t="s">
        <v>40</v>
      </c>
      <c r="B25" s="49" t="s">
        <v>41</v>
      </c>
      <c r="C25" s="50" t="b">
        <v>0</v>
      </c>
      <c r="D25" s="51"/>
      <c r="E25" s="52"/>
      <c r="F25" s="53"/>
      <c r="G25" s="52"/>
      <c r="H25" s="53" t="s">
        <v>42</v>
      </c>
      <c r="I25" s="52"/>
      <c r="J25" s="53"/>
      <c r="K25" s="52"/>
      <c r="L25" s="53"/>
      <c r="M25" s="52"/>
      <c r="N25" s="53"/>
      <c r="O25" s="52"/>
      <c r="P25" s="53"/>
      <c r="Q25" s="52" t="s">
        <v>43</v>
      </c>
      <c r="R25" s="53"/>
      <c r="S25" s="52"/>
      <c r="T25" s="53"/>
      <c r="U25" s="52"/>
      <c r="V25" s="54" t="str" cm="1">
        <f t="array" aca="1" ref="V25" ca="1">IF(C25=TRUE, "OFF", IF(COUNTIF(D25:U25,"In")=0, "-", IF(COUNTIF(D25:U25,"In")=1, INDEX($D$3:$U$3, MATCH("In",D25:U25,0)) &amp; " - " &amp; INDEX($D$4:$U$4, MATCH("Out",D25:U25,0)), INDEX($D$3:$U$3, MATCH("In",D25:U25,0)) &amp; " - " &amp; INDEX($D$4:$U$4, MATCH("Out",D25:U25,0)) &amp; ", " &amp; INDEX($D$3:$U$3, MATCH("Out",D25:U25,0) + MATCH("In", OFFSET(D25,0,MATCH("Out",D25:U25,0),1,18-MATCH("Out",D25:U25,0)),0)) &amp; " - " &amp; INDEX($D$4:$U$4, MATCH("Out",D25:U25,0) + MATCH("In", OFFSET(D25,0,MATCH("Out",D25:U25,0),1,18-MATCH("Out",D25:U25,0)),0) + MATCH("Out", OFFSET(D25,0,MATCH("Out",D25:U25,0)+MATCH("In", OFFSET(D25,0,MATCH("Out",D25:U25,0),1,18-MATCH("Out",D25:U25,0)),0),1,18-(MATCH("Out",D25:U25,0)+MATCH("In", OFFSET(D25,0,MATCH("Out",D25:U25,0),1,18-MATCH("Out",D25:U25,0)),0))),0)))))</f>
        <v>10:00 AM - 3:00 PM</v>
      </c>
      <c r="W25" s="68" t="s">
        <v>57</v>
      </c>
      <c r="X25" s="56"/>
    </row>
    <row r="26" spans="1:24" ht="20.100000000000001" customHeight="1">
      <c r="A26" s="160"/>
      <c r="B26" s="57" t="s">
        <v>45</v>
      </c>
      <c r="C26" s="58" t="b">
        <v>0</v>
      </c>
      <c r="D26" s="59" t="s">
        <v>42</v>
      </c>
      <c r="E26" s="60"/>
      <c r="F26" s="61"/>
      <c r="G26" s="60"/>
      <c r="H26" s="61"/>
      <c r="I26" s="60"/>
      <c r="J26" s="61"/>
      <c r="K26" s="60" t="s">
        <v>43</v>
      </c>
      <c r="L26" s="61"/>
      <c r="M26" s="60"/>
      <c r="N26" s="61"/>
      <c r="O26" s="60"/>
      <c r="P26" s="61"/>
      <c r="Q26" s="60"/>
      <c r="R26" s="61"/>
      <c r="S26" s="60"/>
      <c r="T26" s="61"/>
      <c r="U26" s="60"/>
      <c r="V26" s="62" t="str" cm="1">
        <f t="array" aca="1" ref="V26" ca="1">IF(C26=TRUE, "OFF", IF(COUNTIF(D26:U26,"In")=0, "-", IF(COUNTIF(D26:U26,"In")=1, INDEX($D$3:$U$3, MATCH("In",D26:U26,0)) &amp; " - " &amp; INDEX($D$4:$U$4, MATCH("Out",D26:U26,0)), INDEX($D$3:$U$3, MATCH("In",D26:U26,0)) &amp; " - " &amp; INDEX($D$4:$U$4, MATCH("Out",D26:U26,0)) &amp; ", " &amp; INDEX($D$3:$U$3, MATCH("Out",D26:U26,0) + MATCH("In", OFFSET(D26,0,MATCH("Out",D26:U26,0),1,18-MATCH("Out",D26:U26,0)),0)) &amp; " - " &amp; INDEX($D$4:$U$4, MATCH("Out",D26:U26,0) + MATCH("In", OFFSET(D26,0,MATCH("Out",D26:U26,0),1,18-MATCH("Out",D26:U26,0)),0) + MATCH("Out", OFFSET(D26,0,MATCH("Out",D26:U26,0)+MATCH("In", OFFSET(D26,0,MATCH("Out",D26:U26,0),1,18-MATCH("Out",D26:U26,0)),0),1,18-(MATCH("Out",D26:U26,0)+MATCH("In", OFFSET(D26,0,MATCH("Out",D26:U26,0),1,18-MATCH("Out",D26:U26,0)),0))),0)))))</f>
        <v>8:00 AM - 12:00 PM</v>
      </c>
      <c r="W26" s="68" t="s">
        <v>54</v>
      </c>
      <c r="X26" s="56"/>
    </row>
    <row r="27" spans="1:24">
      <c r="A27" s="119" t="s">
        <v>46</v>
      </c>
      <c r="B27" s="63" t="s">
        <v>47</v>
      </c>
      <c r="C27" s="64" t="b">
        <v>1</v>
      </c>
      <c r="D27" s="65"/>
      <c r="E27" s="66"/>
      <c r="F27" s="67"/>
      <c r="G27" s="66"/>
      <c r="H27" s="67"/>
      <c r="I27" s="66"/>
      <c r="J27" s="67"/>
      <c r="K27" s="66"/>
      <c r="L27" s="67"/>
      <c r="M27" s="66"/>
      <c r="N27" s="67"/>
      <c r="O27" s="66"/>
      <c r="P27" s="67"/>
      <c r="Q27" s="66"/>
      <c r="R27" s="67"/>
      <c r="S27" s="66"/>
      <c r="T27" s="67"/>
      <c r="U27" s="66"/>
      <c r="V27" s="62" t="str" cm="1">
        <f t="array" aca="1" ref="V27" ca="1">IF(C27=TRUE, "OFF", IF(COUNTIF(D27:U27,"In")=0, "-", IF(COUNTIF(D27:U27,"In")=1, INDEX($D$3:$U$3, MATCH("In",D27:U27,0)) &amp; " - " &amp; INDEX($D$4:$U$4, MATCH("Out",D27:U27,0)), INDEX($D$3:$U$3, MATCH("In",D27:U27,0)) &amp; " - " &amp; INDEX($D$4:$U$4, MATCH("Out",D27:U27,0)) &amp; ", " &amp; INDEX($D$3:$U$3, MATCH("Out",D27:U27,0) + MATCH("In", OFFSET(D27,0,MATCH("Out",D27:U27,0),1,18-MATCH("Out",D27:U27,0)),0)) &amp; " - " &amp; INDEX($D$4:$U$4, MATCH("Out",D27:U27,0) + MATCH("In", OFFSET(D27,0,MATCH("Out",D27:U27,0),1,18-MATCH("Out",D27:U27,0)),0) + MATCH("Out", OFFSET(D27,0,MATCH("Out",D27:U27,0)+MATCH("In", OFFSET(D27,0,MATCH("Out",D27:U27,0),1,18-MATCH("Out",D27:U27,0)),0),1,18-(MATCH("Out",D27:U27,0)+MATCH("In", OFFSET(D27,0,MATCH("Out",D27:U27,0),1,18-MATCH("Out",D27:U27,0)),0))),0)))))</f>
        <v>OFF</v>
      </c>
      <c r="W27" s="68" t="s">
        <v>57</v>
      </c>
      <c r="X27" s="56" t="s">
        <v>58</v>
      </c>
    </row>
    <row r="28" spans="1:24">
      <c r="A28" s="161"/>
      <c r="B28" s="69" t="s">
        <v>44</v>
      </c>
      <c r="C28" s="70" t="b">
        <v>0</v>
      </c>
      <c r="D28" s="71"/>
      <c r="E28" s="72"/>
      <c r="F28" s="73"/>
      <c r="G28" s="72"/>
      <c r="H28" s="73"/>
      <c r="I28" s="72"/>
      <c r="J28" s="73"/>
      <c r="K28" s="72"/>
      <c r="L28" s="73"/>
      <c r="M28" s="72"/>
      <c r="N28" s="73"/>
      <c r="O28" s="72"/>
      <c r="P28" s="73"/>
      <c r="Q28" s="72"/>
      <c r="R28" s="73"/>
      <c r="S28" s="72"/>
      <c r="T28" s="73"/>
      <c r="U28" s="72"/>
      <c r="V28" s="74" t="str" cm="1">
        <f t="array" aca="1" ref="V28" ca="1">IF(C28=TRUE, "OFF", IF(COUNTIF(D28:U28,"In")=0, "-", IF(COUNTIF(D28:U28,"In")=1, INDEX($D$3:$U$3, MATCH("In",D28:U28,0)) &amp; " - " &amp; INDEX($D$4:$U$4, MATCH("Out",D28:U28,0)), INDEX($D$3:$U$3, MATCH("In",D28:U28,0)) &amp; " - " &amp; INDEX($D$4:$U$4, MATCH("Out",D28:U28,0)) &amp; ", " &amp; INDEX($D$3:$U$3, MATCH("Out",D28:U28,0) + MATCH("In", OFFSET(D28,0,MATCH("Out",D28:U28,0),1,18-MATCH("Out",D28:U28,0)),0)) &amp; " - " &amp; INDEX($D$4:$U$4, MATCH("Out",D28:U28,0) + MATCH("In", OFFSET(D28,0,MATCH("Out",D28:U28,0),1,18-MATCH("Out",D28:U28,0)),0) + MATCH("Out", OFFSET(D28,0,MATCH("Out",D28:U28,0)+MATCH("In", OFFSET(D28,0,MATCH("Out",D28:U28,0),1,18-MATCH("Out",D28:U28,0)),0),1,18-(MATCH("Out",D28:U28,0)+MATCH("In", OFFSET(D28,0,MATCH("Out",D28:U28,0),1,18-MATCH("Out",D28:U28,0)),0))),0)))))</f>
        <v>-</v>
      </c>
      <c r="W28" s="75" t="s">
        <v>44</v>
      </c>
      <c r="X28" s="76"/>
    </row>
    <row r="29" spans="1:24" ht="20.100000000000001" customHeight="1">
      <c r="A29" s="124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</row>
    <row r="30" spans="1:24" ht="29.1" customHeight="1">
      <c r="A30" s="118" t="str">
        <f>"THURSDAY (" &amp; TEXT($AA$1+3, "d mmm") &amp; ")"</f>
        <v>THURSDAY (3 Sep)</v>
      </c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3"/>
    </row>
    <row r="31" spans="1:24" ht="18" customHeight="1" thickBot="1">
      <c r="A31" s="130" t="s">
        <v>25</v>
      </c>
      <c r="B31" s="111" t="s">
        <v>26</v>
      </c>
      <c r="C31" s="122" t="s">
        <v>27</v>
      </c>
      <c r="D31" s="129" t="s">
        <v>28</v>
      </c>
      <c r="E31" s="155"/>
      <c r="F31" s="112" t="s">
        <v>29</v>
      </c>
      <c r="G31" s="155"/>
      <c r="H31" s="112" t="s">
        <v>30</v>
      </c>
      <c r="I31" s="155"/>
      <c r="J31" s="112" t="s">
        <v>31</v>
      </c>
      <c r="K31" s="155"/>
      <c r="L31" s="113" t="s">
        <v>32</v>
      </c>
      <c r="M31" s="114"/>
      <c r="N31" s="113" t="s">
        <v>33</v>
      </c>
      <c r="O31" s="114"/>
      <c r="P31" s="113" t="s">
        <v>34</v>
      </c>
      <c r="Q31" s="114"/>
      <c r="R31" s="113" t="s">
        <v>35</v>
      </c>
      <c r="S31" s="114"/>
      <c r="T31" s="113" t="s">
        <v>36</v>
      </c>
      <c r="U31" s="114"/>
      <c r="V31" s="120" t="s">
        <v>37</v>
      </c>
      <c r="W31" s="131" t="s">
        <v>38</v>
      </c>
      <c r="X31" s="127" t="s">
        <v>39</v>
      </c>
    </row>
    <row r="32" spans="1:24" ht="15.95" customHeight="1" thickBot="1">
      <c r="A32" s="156"/>
      <c r="B32" s="157"/>
      <c r="C32" s="123"/>
      <c r="D32" s="44">
        <v>0</v>
      </c>
      <c r="E32" s="45">
        <v>30</v>
      </c>
      <c r="F32" s="46">
        <v>0</v>
      </c>
      <c r="G32" s="47">
        <v>30</v>
      </c>
      <c r="H32" s="46">
        <v>0</v>
      </c>
      <c r="I32" s="47">
        <v>30</v>
      </c>
      <c r="J32" s="46">
        <v>0</v>
      </c>
      <c r="K32" s="47">
        <v>30</v>
      </c>
      <c r="L32" s="46">
        <v>0</v>
      </c>
      <c r="M32" s="47">
        <v>30</v>
      </c>
      <c r="N32" s="46">
        <v>0</v>
      </c>
      <c r="O32" s="47">
        <v>30</v>
      </c>
      <c r="P32" s="48">
        <v>0</v>
      </c>
      <c r="Q32" s="45">
        <v>30</v>
      </c>
      <c r="R32" s="48">
        <v>0</v>
      </c>
      <c r="S32" s="45">
        <v>30</v>
      </c>
      <c r="T32" s="48">
        <v>0</v>
      </c>
      <c r="U32" s="45">
        <v>30</v>
      </c>
      <c r="V32" s="158"/>
      <c r="W32" s="132"/>
      <c r="X32" s="159"/>
    </row>
    <row r="33" spans="1:24" ht="20.100000000000001" customHeight="1">
      <c r="A33" s="128" t="s">
        <v>40</v>
      </c>
      <c r="B33" s="49" t="s">
        <v>41</v>
      </c>
      <c r="C33" s="50" t="b">
        <v>0</v>
      </c>
      <c r="D33" s="51"/>
      <c r="E33" s="52"/>
      <c r="F33" s="53"/>
      <c r="G33" s="52"/>
      <c r="H33" s="53" t="s">
        <v>42</v>
      </c>
      <c r="I33" s="52"/>
      <c r="J33" s="53"/>
      <c r="K33" s="52"/>
      <c r="L33" s="53"/>
      <c r="M33" s="52"/>
      <c r="N33" s="53"/>
      <c r="O33" s="52"/>
      <c r="P33" s="53"/>
      <c r="Q33" s="52"/>
      <c r="R33" s="53"/>
      <c r="S33" s="52"/>
      <c r="T33" s="53"/>
      <c r="U33" s="52" t="s">
        <v>43</v>
      </c>
      <c r="V33" s="54" t="str" cm="1">
        <f t="array" aca="1" ref="V33" ca="1">IF(C33=TRUE, "OFF", IF(COUNTIF(D33:U33,"In")=0, "-", IF(COUNTIF(D33:U33,"In")=1, INDEX($D$3:$U$3, MATCH("In",D33:U33,0)) &amp; " - " &amp; INDEX($D$4:$U$4, MATCH("Out",D33:U33,0)), INDEX($D$3:$U$3, MATCH("In",D33:U33,0)) &amp; " - " &amp; INDEX($D$4:$U$4, MATCH("Out",D33:U33,0)) &amp; ", " &amp; INDEX($D$3:$U$3, MATCH("Out",D33:U33,0) + MATCH("In", OFFSET(D33,0,MATCH("Out",D33:U33,0),1,18-MATCH("Out",D33:U33,0)),0)) &amp; " - " &amp; INDEX($D$4:$U$4, MATCH("Out",D33:U33,0) + MATCH("In", OFFSET(D33,0,MATCH("Out",D33:U33,0),1,18-MATCH("Out",D33:U33,0)),0) + MATCH("Out", OFFSET(D33,0,MATCH("Out",D33:U33,0)+MATCH("In", OFFSET(D33,0,MATCH("Out",D33:U33,0),1,18-MATCH("Out",D33:U33,0)),0),1,18-(MATCH("Out",D33:U33,0)+MATCH("In", OFFSET(D33,0,MATCH("Out",D33:U33,0),1,18-MATCH("Out",D33:U33,0)),0))),0)))))</f>
        <v>10:00 AM - 5:00 PM</v>
      </c>
      <c r="W33" s="68" t="s">
        <v>57</v>
      </c>
      <c r="X33" s="56"/>
    </row>
    <row r="34" spans="1:24">
      <c r="A34" s="160"/>
      <c r="B34" s="57" t="s">
        <v>45</v>
      </c>
      <c r="C34" s="58" t="b">
        <v>0</v>
      </c>
      <c r="D34" s="59" t="s">
        <v>42</v>
      </c>
      <c r="E34" s="60"/>
      <c r="F34" s="61"/>
      <c r="G34" s="60"/>
      <c r="H34" s="61"/>
      <c r="I34" s="60"/>
      <c r="J34" s="61"/>
      <c r="K34" s="60" t="s">
        <v>43</v>
      </c>
      <c r="L34" s="61"/>
      <c r="M34" s="60"/>
      <c r="N34" s="61"/>
      <c r="O34" s="60"/>
      <c r="P34" s="61"/>
      <c r="Q34" s="60"/>
      <c r="R34" s="61"/>
      <c r="S34" s="60"/>
      <c r="T34" s="61"/>
      <c r="U34" s="60"/>
      <c r="V34" s="62" t="str" cm="1">
        <f t="array" aca="1" ref="V34" ca="1">IF(C34=TRUE, "OFF", IF(COUNTIF(D34:U34,"In")=0, "-", IF(COUNTIF(D34:U34,"In")=1, INDEX($D$3:$U$3, MATCH("In",D34:U34,0)) &amp; " - " &amp; INDEX($D$4:$U$4, MATCH("Out",D34:U34,0)), INDEX($D$3:$U$3, MATCH("In",D34:U34,0)) &amp; " - " &amp; INDEX($D$4:$U$4, MATCH("Out",D34:U34,0)) &amp; ", " &amp; INDEX($D$3:$U$3, MATCH("Out",D34:U34,0) + MATCH("In", OFFSET(D34,0,MATCH("Out",D34:U34,0),1,18-MATCH("Out",D34:U34,0)),0)) &amp; " - " &amp; INDEX($D$4:$U$4, MATCH("Out",D34:U34,0) + MATCH("In", OFFSET(D34,0,MATCH("Out",D34:U34,0),1,18-MATCH("Out",D34:U34,0)),0) + MATCH("Out", OFFSET(D34,0,MATCH("Out",D34:U34,0)+MATCH("In", OFFSET(D34,0,MATCH("Out",D34:U34,0),1,18-MATCH("Out",D34:U34,0)),0),1,18-(MATCH("Out",D34:U34,0)+MATCH("In", OFFSET(D34,0,MATCH("Out",D34:U34,0),1,18-MATCH("Out",D34:U34,0)),0))),0)))))</f>
        <v>8:00 AM - 12:00 PM</v>
      </c>
      <c r="W34" s="68" t="s">
        <v>54</v>
      </c>
      <c r="X34" s="56"/>
    </row>
    <row r="35" spans="1:24">
      <c r="A35" s="119" t="s">
        <v>46</v>
      </c>
      <c r="B35" s="63" t="s">
        <v>47</v>
      </c>
      <c r="C35" s="64" t="b">
        <v>0</v>
      </c>
      <c r="D35" s="65"/>
      <c r="E35" s="66"/>
      <c r="F35" s="67" t="s">
        <v>55</v>
      </c>
      <c r="G35" s="66"/>
      <c r="H35" s="67"/>
      <c r="I35" s="66"/>
      <c r="J35" s="67"/>
      <c r="K35" s="66"/>
      <c r="L35" s="67"/>
      <c r="M35" s="66" t="s">
        <v>56</v>
      </c>
      <c r="N35" s="67"/>
      <c r="O35" s="66"/>
      <c r="P35" s="67"/>
      <c r="Q35" s="66"/>
      <c r="R35" s="67"/>
      <c r="S35" s="66"/>
      <c r="T35" s="67"/>
      <c r="U35" s="66"/>
      <c r="V35" s="62" t="str" cm="1">
        <f t="array" aca="1" ref="V35" ca="1">IF(C35=TRUE, "OFF", IF(COUNTIF(D35:U35,"In")=0, "-", IF(COUNTIF(D35:U35,"In")=1, INDEX($D$3:$U$3, MATCH("In",D35:U35,0)) &amp; " - " &amp; INDEX($D$4:$U$4, MATCH("Out",D35:U35,0)), INDEX($D$3:$U$3, MATCH("In",D35:U35,0)) &amp; " - " &amp; INDEX($D$4:$U$4, MATCH("Out",D35:U35,0)) &amp; ", " &amp; INDEX($D$3:$U$3, MATCH("Out",D35:U35,0) + MATCH("In", OFFSET(D35,0,MATCH("Out",D35:U35,0),1,18-MATCH("Out",D35:U35,0)),0)) &amp; " - " &amp; INDEX($D$4:$U$4, MATCH("Out",D35:U35,0) + MATCH("In", OFFSET(D35,0,MATCH("Out",D35:U35,0),1,18-MATCH("Out",D35:U35,0)),0) + MATCH("Out", OFFSET(D35,0,MATCH("Out",D35:U35,0)+MATCH("In", OFFSET(D35,0,MATCH("Out",D35:U35,0),1,18-MATCH("Out",D35:U35,0)),0),1,18-(MATCH("Out",D35:U35,0)+MATCH("In", OFFSET(D35,0,MATCH("Out",D35:U35,0),1,18-MATCH("Out",D35:U35,0)),0))),0)))))</f>
        <v>9:00 AM - 1:00 PM</v>
      </c>
      <c r="W35" s="68" t="s">
        <v>54</v>
      </c>
      <c r="X35" s="56"/>
    </row>
    <row r="36" spans="1:24" ht="20.100000000000001" customHeight="1">
      <c r="A36" s="161"/>
      <c r="B36" s="69" t="s">
        <v>44</v>
      </c>
      <c r="C36" s="70" t="b">
        <v>0</v>
      </c>
      <c r="D36" s="71"/>
      <c r="E36" s="72"/>
      <c r="F36" s="73"/>
      <c r="G36" s="72"/>
      <c r="H36" s="73"/>
      <c r="I36" s="72"/>
      <c r="J36" s="73"/>
      <c r="K36" s="72"/>
      <c r="L36" s="73"/>
      <c r="M36" s="72"/>
      <c r="N36" s="73"/>
      <c r="O36" s="72"/>
      <c r="P36" s="73"/>
      <c r="Q36" s="72"/>
      <c r="R36" s="73"/>
      <c r="S36" s="72"/>
      <c r="T36" s="73"/>
      <c r="U36" s="72"/>
      <c r="V36" s="74" t="str" cm="1">
        <f t="array" aca="1" ref="V36" ca="1">IF(C36=TRUE, "OFF", IF(COUNTIF(D36:U36,"In")=0, "-", IF(COUNTIF(D36:U36,"In")=1, INDEX($D$3:$U$3, MATCH("In",D36:U36,0)) &amp; " - " &amp; INDEX($D$4:$U$4, MATCH("Out",D36:U36,0)), INDEX($D$3:$U$3, MATCH("In",D36:U36,0)) &amp; " - " &amp; INDEX($D$4:$U$4, MATCH("Out",D36:U36,0)) &amp; ", " &amp; INDEX($D$3:$U$3, MATCH("Out",D36:U36,0) + MATCH("In", OFFSET(D36,0,MATCH("Out",D36:U36,0),1,18-MATCH("Out",D36:U36,0)),0)) &amp; " - " &amp; INDEX($D$4:$U$4, MATCH("Out",D36:U36,0) + MATCH("In", OFFSET(D36,0,MATCH("Out",D36:U36,0),1,18-MATCH("Out",D36:U36,0)),0) + MATCH("Out", OFFSET(D36,0,MATCH("Out",D36:U36,0)+MATCH("In", OFFSET(D36,0,MATCH("Out",D36:U36,0),1,18-MATCH("Out",D36:U36,0)),0),1,18-(MATCH("Out",D36:U36,0)+MATCH("In", OFFSET(D36,0,MATCH("Out",D36:U36,0),1,18-MATCH("Out",D36:U36,0)),0))),0)))))</f>
        <v>-</v>
      </c>
      <c r="W36" s="75" t="s">
        <v>44</v>
      </c>
      <c r="X36" s="76"/>
    </row>
    <row r="37" spans="1:24" ht="20.100000000000001" customHeight="1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6"/>
    </row>
    <row r="38" spans="1:24" ht="29.1" customHeight="1">
      <c r="A38" s="118" t="str">
        <f>"FRIDAY (" &amp; TEXT($AA$1+4, "d mmm") &amp; ")"</f>
        <v>FRIDAY (4 Sep)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4"/>
    </row>
    <row r="39" spans="1:24">
      <c r="A39" s="130" t="s">
        <v>25</v>
      </c>
      <c r="B39" s="111" t="s">
        <v>26</v>
      </c>
      <c r="C39" s="122" t="s">
        <v>27</v>
      </c>
      <c r="D39" s="129" t="s">
        <v>28</v>
      </c>
      <c r="E39" s="155"/>
      <c r="F39" s="112" t="s">
        <v>29</v>
      </c>
      <c r="G39" s="155"/>
      <c r="H39" s="112" t="s">
        <v>30</v>
      </c>
      <c r="I39" s="155"/>
      <c r="J39" s="112" t="s">
        <v>31</v>
      </c>
      <c r="K39" s="155"/>
      <c r="L39" s="113" t="s">
        <v>32</v>
      </c>
      <c r="M39" s="114"/>
      <c r="N39" s="113" t="s">
        <v>33</v>
      </c>
      <c r="O39" s="114"/>
      <c r="P39" s="113" t="s">
        <v>34</v>
      </c>
      <c r="Q39" s="114"/>
      <c r="R39" s="113" t="s">
        <v>35</v>
      </c>
      <c r="S39" s="114"/>
      <c r="T39" s="113" t="s">
        <v>36</v>
      </c>
      <c r="U39" s="114"/>
      <c r="V39" s="120" t="s">
        <v>37</v>
      </c>
      <c r="W39" s="131" t="s">
        <v>38</v>
      </c>
      <c r="X39" s="127" t="s">
        <v>39</v>
      </c>
    </row>
    <row r="40" spans="1:24" ht="15.95" customHeight="1" thickBot="1">
      <c r="A40" s="156"/>
      <c r="B40" s="157"/>
      <c r="C40" s="123"/>
      <c r="D40" s="44">
        <v>0</v>
      </c>
      <c r="E40" s="45">
        <v>30</v>
      </c>
      <c r="F40" s="46">
        <v>0</v>
      </c>
      <c r="G40" s="47">
        <v>30</v>
      </c>
      <c r="H40" s="46">
        <v>0</v>
      </c>
      <c r="I40" s="47">
        <v>30</v>
      </c>
      <c r="J40" s="46">
        <v>0</v>
      </c>
      <c r="K40" s="47">
        <v>30</v>
      </c>
      <c r="L40" s="46">
        <v>0</v>
      </c>
      <c r="M40" s="47">
        <v>30</v>
      </c>
      <c r="N40" s="46">
        <v>0</v>
      </c>
      <c r="O40" s="47">
        <v>30</v>
      </c>
      <c r="P40" s="48">
        <v>0</v>
      </c>
      <c r="Q40" s="45">
        <v>30</v>
      </c>
      <c r="R40" s="48">
        <v>0</v>
      </c>
      <c r="S40" s="45">
        <v>30</v>
      </c>
      <c r="T40" s="48">
        <v>0</v>
      </c>
      <c r="U40" s="45">
        <v>30</v>
      </c>
      <c r="V40" s="158"/>
      <c r="W40" s="132"/>
      <c r="X40" s="159"/>
    </row>
    <row r="41" spans="1:24" ht="20.100000000000001" customHeight="1">
      <c r="A41" s="128" t="s">
        <v>40</v>
      </c>
      <c r="B41" s="49" t="s">
        <v>41</v>
      </c>
      <c r="C41" s="50" t="b">
        <v>1</v>
      </c>
      <c r="D41" s="51"/>
      <c r="E41" s="52"/>
      <c r="F41" s="53"/>
      <c r="G41" s="52"/>
      <c r="H41" s="53"/>
      <c r="I41" s="52"/>
      <c r="J41" s="53"/>
      <c r="K41" s="52"/>
      <c r="L41" s="53"/>
      <c r="M41" s="52"/>
      <c r="N41" s="53"/>
      <c r="O41" s="52"/>
      <c r="P41" s="53"/>
      <c r="Q41" s="52"/>
      <c r="R41" s="53"/>
      <c r="S41" s="52"/>
      <c r="T41" s="53"/>
      <c r="U41" s="52"/>
      <c r="V41" s="54" t="str" cm="1">
        <f t="array" aca="1" ref="V41" ca="1">IF(C41=TRUE, "OFF", IF(COUNTIF(D41:U41,"In")=0, "-", IF(COUNTIF(D41:U41,"In")=1, INDEX($D$3:$U$3, MATCH("In",D41:U41,0)) &amp; " - " &amp; INDEX($D$4:$U$4, MATCH("Out",D41:U41,0)), INDEX($D$3:$U$3, MATCH("In",D41:U41,0)) &amp; " - " &amp; INDEX($D$4:$U$4, MATCH("Out",D41:U41,0)) &amp; ", " &amp; INDEX($D$3:$U$3, MATCH("Out",D41:U41,0) + MATCH("In", OFFSET(D41,0,MATCH("Out",D41:U41,0),1,18-MATCH("Out",D41:U41,0)),0)) &amp; " - " &amp; INDEX($D$4:$U$4, MATCH("Out",D41:U41,0) + MATCH("In", OFFSET(D41,0,MATCH("Out",D41:U41,0),1,18-MATCH("Out",D41:U41,0)),0) + MATCH("Out", OFFSET(D41,0,MATCH("Out",D41:U41,0)+MATCH("In", OFFSET(D41,0,MATCH("Out",D41:U41,0),1,18-MATCH("Out",D41:U41,0)),0),1,18-(MATCH("Out",D41:U41,0)+MATCH("In", OFFSET(D41,0,MATCH("Out",D41:U41,0),1,18-MATCH("Out",D41:U41,0)),0))),0)))))</f>
        <v>OFF</v>
      </c>
      <c r="W41" s="55" t="s">
        <v>44</v>
      </c>
      <c r="X41" s="56"/>
    </row>
    <row r="42" spans="1:24" ht="20.100000000000001" customHeight="1">
      <c r="A42" s="160"/>
      <c r="B42" s="57" t="s">
        <v>45</v>
      </c>
      <c r="C42" s="58" t="b">
        <v>0</v>
      </c>
      <c r="D42" s="59" t="s">
        <v>42</v>
      </c>
      <c r="E42" s="60"/>
      <c r="F42" s="61"/>
      <c r="G42" s="60"/>
      <c r="H42" s="61"/>
      <c r="I42" s="60"/>
      <c r="J42" s="61"/>
      <c r="K42" s="60" t="s">
        <v>43</v>
      </c>
      <c r="L42" s="61"/>
      <c r="M42" s="60"/>
      <c r="N42" s="61"/>
      <c r="O42" s="60"/>
      <c r="P42" s="61"/>
      <c r="Q42" s="60"/>
      <c r="R42" s="61"/>
      <c r="S42" s="60"/>
      <c r="T42" s="61"/>
      <c r="U42" s="60"/>
      <c r="V42" s="62" t="str" cm="1">
        <f t="array" aca="1" ref="V42" ca="1">IF(C42=TRUE, "OFF", IF(COUNTIF(D42:U42,"In")=0, "-", IF(COUNTIF(D42:U42,"In")=1, INDEX($D$3:$U$3, MATCH("In",D42:U42,0)) &amp; " - " &amp; INDEX($D$4:$U$4, MATCH("Out",D42:U42,0)), INDEX($D$3:$U$3, MATCH("In",D42:U42,0)) &amp; " - " &amp; INDEX($D$4:$U$4, MATCH("Out",D42:U42,0)) &amp; ", " &amp; INDEX($D$3:$U$3, MATCH("Out",D42:U42,0) + MATCH("In", OFFSET(D42,0,MATCH("Out",D42:U42,0),1,18-MATCH("Out",D42:U42,0)),0)) &amp; " - " &amp; INDEX($D$4:$U$4, MATCH("Out",D42:U42,0) + MATCH("In", OFFSET(D42,0,MATCH("Out",D42:U42,0),1,18-MATCH("Out",D42:U42,0)),0) + MATCH("Out", OFFSET(D42,0,MATCH("Out",D42:U42,0)+MATCH("In", OFFSET(D42,0,MATCH("Out",D42:U42,0),1,18-MATCH("Out",D42:U42,0)),0),1,18-(MATCH("Out",D42:U42,0)+MATCH("In", OFFSET(D42,0,MATCH("Out",D42:U42,0),1,18-MATCH("Out",D42:U42,0)),0))),0)))))</f>
        <v>8:00 AM - 12:00 PM</v>
      </c>
      <c r="W42" s="68" t="s">
        <v>54</v>
      </c>
      <c r="X42" s="56"/>
    </row>
    <row r="43" spans="1:24" ht="20.100000000000001" customHeight="1">
      <c r="A43" s="119" t="s">
        <v>46</v>
      </c>
      <c r="B43" s="63" t="s">
        <v>47</v>
      </c>
      <c r="C43" s="64" t="b">
        <v>0</v>
      </c>
      <c r="D43" s="65"/>
      <c r="E43" s="66"/>
      <c r="F43" s="67" t="s">
        <v>55</v>
      </c>
      <c r="G43" s="66"/>
      <c r="H43" s="67"/>
      <c r="I43" s="66"/>
      <c r="J43" s="67"/>
      <c r="K43" s="66"/>
      <c r="L43" s="67"/>
      <c r="M43" s="66" t="s">
        <v>56</v>
      </c>
      <c r="N43" s="67"/>
      <c r="O43" s="66"/>
      <c r="P43" s="67"/>
      <c r="Q43" s="66"/>
      <c r="R43" s="67"/>
      <c r="S43" s="66"/>
      <c r="T43" s="67"/>
      <c r="U43" s="66"/>
      <c r="V43" s="62" t="str" cm="1">
        <f t="array" aca="1" ref="V43" ca="1">IF(C43=TRUE, "OFF", IF(COUNTIF(D43:U43,"In")=0, "-", IF(COUNTIF(D43:U43,"In")=1, INDEX($D$3:$U$3, MATCH("In",D43:U43,0)) &amp; " - " &amp; INDEX($D$4:$U$4, MATCH("Out",D43:U43,0)), INDEX($D$3:$U$3, MATCH("In",D43:U43,0)) &amp; " - " &amp; INDEX($D$4:$U$4, MATCH("Out",D43:U43,0)) &amp; ", " &amp; INDEX($D$3:$U$3, MATCH("Out",D43:U43,0) + MATCH("In", OFFSET(D43,0,MATCH("Out",D43:U43,0),1,18-MATCH("Out",D43:U43,0)),0)) &amp; " - " &amp; INDEX($D$4:$U$4, MATCH("Out",D43:U43,0) + MATCH("In", OFFSET(D43,0,MATCH("Out",D43:U43,0),1,18-MATCH("Out",D43:U43,0)),0) + MATCH("Out", OFFSET(D43,0,MATCH("Out",D43:U43,0)+MATCH("In", OFFSET(D43,0,MATCH("Out",D43:U43,0),1,18-MATCH("Out",D43:U43,0)),0),1,18-(MATCH("Out",D43:U43,0)+MATCH("In", OFFSET(D43,0,MATCH("Out",D43:U43,0),1,18-MATCH("Out",D43:U43,0)),0))),0)))))</f>
        <v>9:00 AM - 1:00 PM</v>
      </c>
      <c r="W43" s="68" t="s">
        <v>54</v>
      </c>
      <c r="X43" s="56"/>
    </row>
    <row r="44" spans="1:24" ht="20.100000000000001" customHeight="1">
      <c r="A44" s="161"/>
      <c r="B44" s="69" t="s">
        <v>44</v>
      </c>
      <c r="C44" s="70" t="b">
        <v>0</v>
      </c>
      <c r="D44" s="71"/>
      <c r="E44" s="72"/>
      <c r="F44" s="73"/>
      <c r="G44" s="72"/>
      <c r="H44" s="73"/>
      <c r="I44" s="72"/>
      <c r="J44" s="73"/>
      <c r="K44" s="72"/>
      <c r="L44" s="73"/>
      <c r="M44" s="72"/>
      <c r="N44" s="73"/>
      <c r="O44" s="72"/>
      <c r="P44" s="73"/>
      <c r="Q44" s="72"/>
      <c r="R44" s="73"/>
      <c r="S44" s="72"/>
      <c r="T44" s="73"/>
      <c r="U44" s="72"/>
      <c r="V44" s="74" t="str" cm="1">
        <f t="array" aca="1" ref="V44" ca="1">IF(C44=TRUE, "OFF", IF(COUNTIF(D44:U44,"In")=0, "-", IF(COUNTIF(D44:U44,"In")=1, INDEX($D$3:$U$3, MATCH("In",D44:U44,0)) &amp; " - " &amp; INDEX($D$4:$U$4, MATCH("Out",D44:U44,0)), INDEX($D$3:$U$3, MATCH("In",D44:U44,0)) &amp; " - " &amp; INDEX($D$4:$U$4, MATCH("Out",D44:U44,0)) &amp; ", " &amp; INDEX($D$3:$U$3, MATCH("Out",D44:U44,0) + MATCH("In", OFFSET(D44,0,MATCH("Out",D44:U44,0),1,18-MATCH("Out",D44:U44,0)),0)) &amp; " - " &amp; INDEX($D$4:$U$4, MATCH("Out",D44:U44,0) + MATCH("In", OFFSET(D44,0,MATCH("Out",D44:U44,0),1,18-MATCH("Out",D44:U44,0)),0) + MATCH("Out", OFFSET(D44,0,MATCH("Out",D44:U44,0)+MATCH("In", OFFSET(D44,0,MATCH("Out",D44:U44,0),1,18-MATCH("Out",D44:U44,0)),0),1,18-(MATCH("Out",D44:U44,0)+MATCH("In", OFFSET(D44,0,MATCH("Out",D44:U44,0),1,18-MATCH("Out",D44:U44,0)),0))),0)))))</f>
        <v>-</v>
      </c>
      <c r="W44" s="75" t="s">
        <v>44</v>
      </c>
      <c r="X44" s="76"/>
    </row>
  </sheetData>
  <mergeCells count="102">
    <mergeCell ref="A5:X5"/>
    <mergeCell ref="A13:X13"/>
    <mergeCell ref="A21:X21"/>
    <mergeCell ref="W39:W40"/>
    <mergeCell ref="T23:U23"/>
    <mergeCell ref="W31:W32"/>
    <mergeCell ref="A6:X6"/>
    <mergeCell ref="W7:W8"/>
    <mergeCell ref="N7:O7"/>
    <mergeCell ref="A7:A8"/>
    <mergeCell ref="P7:Q7"/>
    <mergeCell ref="B15:B16"/>
    <mergeCell ref="B31:B32"/>
    <mergeCell ref="A9:A10"/>
    <mergeCell ref="A19:A20"/>
    <mergeCell ref="L31:M31"/>
    <mergeCell ref="N31:O31"/>
    <mergeCell ref="D39:E39"/>
    <mergeCell ref="W15:W16"/>
    <mergeCell ref="H31:I31"/>
    <mergeCell ref="J31:K31"/>
    <mergeCell ref="X23:X24"/>
    <mergeCell ref="T31:U31"/>
    <mergeCell ref="A22:X22"/>
    <mergeCell ref="P15:Q15"/>
    <mergeCell ref="R31:S31"/>
    <mergeCell ref="H23:I23"/>
    <mergeCell ref="J23:K23"/>
    <mergeCell ref="R23:S23"/>
    <mergeCell ref="V39:V40"/>
    <mergeCell ref="N39:O39"/>
    <mergeCell ref="D7:E7"/>
    <mergeCell ref="A43:A44"/>
    <mergeCell ref="A35:A36"/>
    <mergeCell ref="X39:X40"/>
    <mergeCell ref="W23:W24"/>
    <mergeCell ref="J39:K39"/>
    <mergeCell ref="A27:A28"/>
    <mergeCell ref="V31:V32"/>
    <mergeCell ref="L39:M39"/>
    <mergeCell ref="A41:A42"/>
    <mergeCell ref="C23:C24"/>
    <mergeCell ref="C31:C32"/>
    <mergeCell ref="C39:C40"/>
    <mergeCell ref="L23:M23"/>
    <mergeCell ref="R39:S39"/>
    <mergeCell ref="T39:U39"/>
    <mergeCell ref="A33:A34"/>
    <mergeCell ref="A38:X38"/>
    <mergeCell ref="D23:E23"/>
    <mergeCell ref="F23:G23"/>
    <mergeCell ref="P23:Q23"/>
    <mergeCell ref="A31:A32"/>
    <mergeCell ref="A39:A40"/>
    <mergeCell ref="A2:X2"/>
    <mergeCell ref="C7:C8"/>
    <mergeCell ref="C15:C16"/>
    <mergeCell ref="F15:G15"/>
    <mergeCell ref="B39:B40"/>
    <mergeCell ref="H15:I15"/>
    <mergeCell ref="F7:G7"/>
    <mergeCell ref="B23:B24"/>
    <mergeCell ref="N23:O23"/>
    <mergeCell ref="H7:I7"/>
    <mergeCell ref="A29:X29"/>
    <mergeCell ref="A37:X37"/>
    <mergeCell ref="X15:X16"/>
    <mergeCell ref="A25:A26"/>
    <mergeCell ref="D31:E31"/>
    <mergeCell ref="A30:X30"/>
    <mergeCell ref="F31:G31"/>
    <mergeCell ref="A23:A24"/>
    <mergeCell ref="X31:X32"/>
    <mergeCell ref="P31:Q31"/>
    <mergeCell ref="V23:V24"/>
    <mergeCell ref="A15:A16"/>
    <mergeCell ref="A17:A18"/>
    <mergeCell ref="D15:E15"/>
    <mergeCell ref="P1:Q1"/>
    <mergeCell ref="B7:B8"/>
    <mergeCell ref="F39:G39"/>
    <mergeCell ref="H39:I39"/>
    <mergeCell ref="P39:Q39"/>
    <mergeCell ref="T1:X1"/>
    <mergeCell ref="J15:K15"/>
    <mergeCell ref="L15:M15"/>
    <mergeCell ref="V7:V8"/>
    <mergeCell ref="X7:X8"/>
    <mergeCell ref="J7:K7"/>
    <mergeCell ref="N1:O1"/>
    <mergeCell ref="L1:M1"/>
    <mergeCell ref="T15:U15"/>
    <mergeCell ref="N15:O15"/>
    <mergeCell ref="R1:S1"/>
    <mergeCell ref="A14:X14"/>
    <mergeCell ref="A11:A12"/>
    <mergeCell ref="L7:M7"/>
    <mergeCell ref="V15:V16"/>
    <mergeCell ref="T7:U7"/>
    <mergeCell ref="R7:S7"/>
    <mergeCell ref="R15:S15"/>
    <mergeCell ref="A1:K1"/>
  </mergeCells>
  <phoneticPr fontId="10" type="noConversion"/>
  <conditionalFormatting sqref="D22:U28 D14:U20 D6:U12 D30:U36 D38:U44">
    <cfRule type="expression" dxfId="133" priority="57" stopIfTrue="1">
      <formula>$C6=TRUE</formula>
    </cfRule>
    <cfRule type="expression" dxfId="132" priority="141">
      <formula>OR(COUNTIF($D6:D6,"In")&gt;COUNTIF($D6:D6,"Out"), D6="Out")</formula>
    </cfRule>
    <cfRule type="cellIs" dxfId="131" priority="142" operator="equal">
      <formula>"In"</formula>
    </cfRule>
    <cfRule type="cellIs" dxfId="130" priority="143" operator="equal">
      <formula>"Out"</formula>
    </cfRule>
  </conditionalFormatting>
  <conditionalFormatting sqref="W7:W8 W11:W12">
    <cfRule type="cellIs" dxfId="129" priority="117" operator="equal">
      <formula>"✓ Approved"</formula>
    </cfRule>
    <cfRule type="cellIs" dxfId="128" priority="118" operator="equal">
      <formula>"Pending"</formula>
    </cfRule>
    <cfRule type="cellIs" dxfId="127" priority="119" operator="equal">
      <formula>"Rejected"</formula>
    </cfRule>
    <cfRule type="cellIs" dxfId="126" priority="120" operator="equal">
      <formula>"-"</formula>
    </cfRule>
  </conditionalFormatting>
  <conditionalFormatting sqref="W11:W12">
    <cfRule type="cellIs" dxfId="125" priority="114" operator="equal">
      <formula>"Rejected"</formula>
    </cfRule>
    <cfRule type="cellIs" dxfId="124" priority="115" operator="equal">
      <formula>"Pending"</formula>
    </cfRule>
    <cfRule type="cellIs" dxfId="123" priority="116" operator="equal">
      <formula>"✓ Approved"</formula>
    </cfRule>
  </conditionalFormatting>
  <conditionalFormatting sqref="W15:W17 W19:W20">
    <cfRule type="cellIs" dxfId="122" priority="82" operator="equal">
      <formula>"✓ Approved"</formula>
    </cfRule>
    <cfRule type="cellIs" dxfId="121" priority="83" operator="equal">
      <formula>"Pending"</formula>
    </cfRule>
    <cfRule type="cellIs" dxfId="120" priority="84" operator="equal">
      <formula>"Rejected"</formula>
    </cfRule>
    <cfRule type="cellIs" dxfId="119" priority="85" operator="equal">
      <formula>"-"</formula>
    </cfRule>
  </conditionalFormatting>
  <conditionalFormatting sqref="W17 W19:W20">
    <cfRule type="cellIs" dxfId="118" priority="79" operator="equal">
      <formula>"Rejected"</formula>
    </cfRule>
    <cfRule type="cellIs" dxfId="117" priority="80" operator="equal">
      <formula>"Pending"</formula>
    </cfRule>
    <cfRule type="cellIs" dxfId="116" priority="81" operator="equal">
      <formula>"✓ Approved"</formula>
    </cfRule>
  </conditionalFormatting>
  <conditionalFormatting sqref="W23:W24 W27:W28">
    <cfRule type="cellIs" dxfId="115" priority="75" operator="equal">
      <formula>"✓ Approved"</formula>
    </cfRule>
    <cfRule type="cellIs" dxfId="114" priority="76" operator="equal">
      <formula>"Pending"</formula>
    </cfRule>
    <cfRule type="cellIs" dxfId="113" priority="77" operator="equal">
      <formula>"Rejected"</formula>
    </cfRule>
    <cfRule type="cellIs" dxfId="112" priority="78" operator="equal">
      <formula>"-"</formula>
    </cfRule>
  </conditionalFormatting>
  <conditionalFormatting sqref="W27:W28">
    <cfRule type="cellIs" dxfId="111" priority="72" operator="equal">
      <formula>"Rejected"</formula>
    </cfRule>
    <cfRule type="cellIs" dxfId="110" priority="73" operator="equal">
      <formula>"Pending"</formula>
    </cfRule>
    <cfRule type="cellIs" dxfId="109" priority="74" operator="equal">
      <formula>"✓ Approved"</formula>
    </cfRule>
  </conditionalFormatting>
  <conditionalFormatting sqref="W31:W32 W35:W36">
    <cfRule type="cellIs" dxfId="108" priority="68" operator="equal">
      <formula>"✓ Approved"</formula>
    </cfRule>
    <cfRule type="cellIs" dxfId="107" priority="69" operator="equal">
      <formula>"Pending"</formula>
    </cfRule>
    <cfRule type="cellIs" dxfId="106" priority="70" operator="equal">
      <formula>"Rejected"</formula>
    </cfRule>
    <cfRule type="cellIs" dxfId="105" priority="71" operator="equal">
      <formula>"-"</formula>
    </cfRule>
  </conditionalFormatting>
  <conditionalFormatting sqref="W35:W36">
    <cfRule type="cellIs" dxfId="104" priority="65" operator="equal">
      <formula>"Rejected"</formula>
    </cfRule>
    <cfRule type="cellIs" dxfId="103" priority="66" operator="equal">
      <formula>"Pending"</formula>
    </cfRule>
    <cfRule type="cellIs" dxfId="102" priority="67" operator="equal">
      <formula>"✓ Approved"</formula>
    </cfRule>
  </conditionalFormatting>
  <conditionalFormatting sqref="W39:W44">
    <cfRule type="cellIs" dxfId="101" priority="61" operator="equal">
      <formula>"✓ Approved"</formula>
    </cfRule>
    <cfRule type="cellIs" dxfId="100" priority="62" operator="equal">
      <formula>"Pending"</formula>
    </cfRule>
    <cfRule type="cellIs" dxfId="99" priority="63" operator="equal">
      <formula>"Rejected"</formula>
    </cfRule>
    <cfRule type="cellIs" dxfId="98" priority="64" operator="equal">
      <formula>"-"</formula>
    </cfRule>
  </conditionalFormatting>
  <conditionalFormatting sqref="W41:W44">
    <cfRule type="cellIs" dxfId="97" priority="58" operator="equal">
      <formula>"Rejected"</formula>
    </cfRule>
    <cfRule type="cellIs" dxfId="96" priority="59" operator="equal">
      <formula>"Pending"</formula>
    </cfRule>
    <cfRule type="cellIs" dxfId="95" priority="60" operator="equal">
      <formula>"✓ Approved"</formula>
    </cfRule>
  </conditionalFormatting>
  <conditionalFormatting sqref="W34">
    <cfRule type="cellIs" dxfId="94" priority="53" operator="equal">
      <formula>"✓ Approved"</formula>
    </cfRule>
    <cfRule type="cellIs" dxfId="93" priority="54" operator="equal">
      <formula>"Pending"</formula>
    </cfRule>
    <cfRule type="cellIs" dxfId="92" priority="55" operator="equal">
      <formula>"Rejected"</formula>
    </cfRule>
    <cfRule type="cellIs" dxfId="91" priority="56" operator="equal">
      <formula>"-"</formula>
    </cfRule>
  </conditionalFormatting>
  <conditionalFormatting sqref="W34">
    <cfRule type="cellIs" dxfId="90" priority="50" operator="equal">
      <formula>"Rejected"</formula>
    </cfRule>
    <cfRule type="cellIs" dxfId="89" priority="51" operator="equal">
      <formula>"Pending"</formula>
    </cfRule>
    <cfRule type="cellIs" dxfId="88" priority="52" operator="equal">
      <formula>"✓ Approved"</formula>
    </cfRule>
  </conditionalFormatting>
  <conditionalFormatting sqref="W26">
    <cfRule type="cellIs" dxfId="87" priority="39" operator="equal">
      <formula>"✓ Approved"</formula>
    </cfRule>
    <cfRule type="cellIs" dxfId="86" priority="40" operator="equal">
      <formula>"Pending"</formula>
    </cfRule>
    <cfRule type="cellIs" dxfId="85" priority="41" operator="equal">
      <formula>"Rejected"</formula>
    </cfRule>
    <cfRule type="cellIs" dxfId="84" priority="42" operator="equal">
      <formula>"-"</formula>
    </cfRule>
  </conditionalFormatting>
  <conditionalFormatting sqref="W26">
    <cfRule type="cellIs" dxfId="83" priority="36" operator="equal">
      <formula>"Rejected"</formula>
    </cfRule>
    <cfRule type="cellIs" dxfId="82" priority="37" operator="equal">
      <formula>"Pending"</formula>
    </cfRule>
    <cfRule type="cellIs" dxfId="81" priority="38" operator="equal">
      <formula>"✓ Approved"</formula>
    </cfRule>
  </conditionalFormatting>
  <conditionalFormatting sqref="W25">
    <cfRule type="cellIs" dxfId="80" priority="32" operator="equal">
      <formula>"✓ Approved"</formula>
    </cfRule>
    <cfRule type="cellIs" dxfId="79" priority="33" operator="equal">
      <formula>"Pending"</formula>
    </cfRule>
    <cfRule type="cellIs" dxfId="78" priority="34" operator="equal">
      <formula>"Rejected"</formula>
    </cfRule>
    <cfRule type="cellIs" dxfId="77" priority="35" operator="equal">
      <formula>"-"</formula>
    </cfRule>
  </conditionalFormatting>
  <conditionalFormatting sqref="W25">
    <cfRule type="cellIs" dxfId="76" priority="29" operator="equal">
      <formula>"Rejected"</formula>
    </cfRule>
    <cfRule type="cellIs" dxfId="75" priority="30" operator="equal">
      <formula>"Pending"</formula>
    </cfRule>
    <cfRule type="cellIs" dxfId="74" priority="31" operator="equal">
      <formula>"✓ Approved"</formula>
    </cfRule>
  </conditionalFormatting>
  <conditionalFormatting sqref="W18">
    <cfRule type="cellIs" dxfId="73" priority="25" operator="equal">
      <formula>"✓ Approved"</formula>
    </cfRule>
    <cfRule type="cellIs" dxfId="72" priority="26" operator="equal">
      <formula>"Pending"</formula>
    </cfRule>
    <cfRule type="cellIs" dxfId="71" priority="27" operator="equal">
      <formula>"Rejected"</formula>
    </cfRule>
    <cfRule type="cellIs" dxfId="70" priority="28" operator="equal">
      <formula>"-"</formula>
    </cfRule>
  </conditionalFormatting>
  <conditionalFormatting sqref="W18">
    <cfRule type="cellIs" dxfId="69" priority="22" operator="equal">
      <formula>"Rejected"</formula>
    </cfRule>
    <cfRule type="cellIs" dxfId="68" priority="23" operator="equal">
      <formula>"Pending"</formula>
    </cfRule>
    <cfRule type="cellIs" dxfId="67" priority="24" operator="equal">
      <formula>"✓ Approved"</formula>
    </cfRule>
  </conditionalFormatting>
  <conditionalFormatting sqref="W9:W10">
    <cfRule type="cellIs" dxfId="66" priority="18" operator="equal">
      <formula>"✓ Approved"</formula>
    </cfRule>
    <cfRule type="cellIs" dxfId="65" priority="19" operator="equal">
      <formula>"Pending"</formula>
    </cfRule>
    <cfRule type="cellIs" dxfId="64" priority="20" operator="equal">
      <formula>"Rejected"</formula>
    </cfRule>
    <cfRule type="cellIs" dxfId="63" priority="21" operator="equal">
      <formula>"-"</formula>
    </cfRule>
  </conditionalFormatting>
  <conditionalFormatting sqref="W9:W10">
    <cfRule type="cellIs" dxfId="62" priority="15" operator="equal">
      <formula>"Rejected"</formula>
    </cfRule>
    <cfRule type="cellIs" dxfId="61" priority="16" operator="equal">
      <formula>"Pending"</formula>
    </cfRule>
    <cfRule type="cellIs" dxfId="60" priority="17" operator="equal">
      <formula>"✓ Approved"</formula>
    </cfRule>
  </conditionalFormatting>
  <conditionalFormatting sqref="W33">
    <cfRule type="cellIs" dxfId="59" priority="4" operator="equal">
      <formula>"✓ Approved"</formula>
    </cfRule>
    <cfRule type="cellIs" dxfId="58" priority="5" operator="equal">
      <formula>"Pending"</formula>
    </cfRule>
    <cfRule type="cellIs" dxfId="57" priority="6" operator="equal">
      <formula>"Rejected"</formula>
    </cfRule>
    <cfRule type="cellIs" dxfId="56" priority="7" operator="equal">
      <formula>"-"</formula>
    </cfRule>
  </conditionalFormatting>
  <conditionalFormatting sqref="W33">
    <cfRule type="cellIs" dxfId="55" priority="1" operator="equal">
      <formula>"Rejected"</formula>
    </cfRule>
    <cfRule type="cellIs" dxfId="54" priority="2" operator="equal">
      <formula>"Pending"</formula>
    </cfRule>
    <cfRule type="cellIs" dxfId="53" priority="3" operator="equal">
      <formula>"✓ Approved"</formula>
    </cfRule>
  </conditionalFormatting>
  <dataValidations count="1">
    <dataValidation type="list" allowBlank="1" showInputMessage="1" showErrorMessage="1" sqref="W17:W20 W41:W44 W25:W28 W33:W36 W9:W12" xr:uid="{78D57BE0-09AC-DE4E-A3E7-7560C93BFA1E}">
      <formula1>"✓ Approved, Pending, Rejected, 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Lists!$A$2:$A$53</xm:f>
          </x14:formula1>
          <xm:sqref>R1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3"/>
  <sheetViews>
    <sheetView workbookViewId="0"/>
  </sheetViews>
  <sheetFormatPr defaultColWidth="8.875" defaultRowHeight="17.100000000000001"/>
  <sheetData>
    <row r="1" spans="1:1">
      <c r="A1" s="2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  <row r="37" spans="1:1">
      <c r="A37" t="s">
        <v>52</v>
      </c>
    </row>
    <row r="38" spans="1:1">
      <c r="A38" t="s">
        <v>50</v>
      </c>
    </row>
    <row r="39" spans="1:1">
      <c r="A39" t="s">
        <v>49</v>
      </c>
    </row>
    <row r="40" spans="1:1">
      <c r="A40" t="s">
        <v>3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  <row r="45" spans="1:1">
      <c r="A45" t="s">
        <v>99</v>
      </c>
    </row>
    <row r="46" spans="1:1">
      <c r="A46" t="s">
        <v>100</v>
      </c>
    </row>
    <row r="47" spans="1:1">
      <c r="A47" t="s">
        <v>101</v>
      </c>
    </row>
    <row r="48" spans="1:1">
      <c r="A48" t="s">
        <v>102</v>
      </c>
    </row>
    <row r="49" spans="1:1">
      <c r="A49" t="s">
        <v>103</v>
      </c>
    </row>
    <row r="50" spans="1:1">
      <c r="A50" t="s">
        <v>104</v>
      </c>
    </row>
    <row r="51" spans="1:1">
      <c r="A51" t="s">
        <v>105</v>
      </c>
    </row>
    <row r="52" spans="1:1">
      <c r="A52" t="s">
        <v>106</v>
      </c>
    </row>
    <row r="53" spans="1:1">
      <c r="A53" t="s">
        <v>107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FE19-B339-48E8-8E91-F488BF7CAF4B}">
  <dimension ref="A1:AA44"/>
  <sheetViews>
    <sheetView workbookViewId="0">
      <selection activeCell="R1" sqref="R1:S1"/>
    </sheetView>
  </sheetViews>
  <sheetFormatPr defaultColWidth="8.875" defaultRowHeight="16.5"/>
  <cols>
    <col min="1" max="1" width="11" customWidth="1"/>
    <col min="2" max="2" width="15" customWidth="1"/>
    <col min="3" max="3" width="6.375" customWidth="1"/>
    <col min="4" max="21" width="5.375" customWidth="1"/>
    <col min="22" max="22" width="28.875" customWidth="1"/>
    <col min="23" max="23" width="13" customWidth="1"/>
    <col min="24" max="24" width="30.5" customWidth="1"/>
    <col min="25" max="25" width="9"/>
    <col min="26" max="26" width="18.875" customWidth="1"/>
  </cols>
  <sheetData>
    <row r="1" spans="1:27" ht="33.950000000000003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 t="s">
        <v>1</v>
      </c>
      <c r="M1" s="79"/>
      <c r="N1" s="81">
        <v>2026</v>
      </c>
      <c r="O1" s="137"/>
      <c r="P1" s="80" t="s">
        <v>2</v>
      </c>
      <c r="Q1" s="79"/>
      <c r="R1" s="81" t="s">
        <v>60</v>
      </c>
      <c r="S1" s="137"/>
      <c r="T1" s="82" t="str">
        <f>"PERIOD " &amp; TEXT($AA$1, "d mmm") &amp; " ~ " &amp; TEXT($AA$1+4, "d mmm")</f>
        <v>PERIOD 29 Dec ~ 2 Jan</v>
      </c>
      <c r="U1" s="138"/>
      <c r="V1" s="138"/>
      <c r="W1" s="138"/>
      <c r="X1" s="138"/>
      <c r="Z1" s="3" t="s">
        <v>4</v>
      </c>
      <c r="AA1">
        <f>DATE(N1, 1, 4) - WEEKDAY(DATE(N1, 1, 4), 2) + (VALUE(SUBSTITUTE(R1, "Week ", "")) - 1)*7 + 1</f>
        <v>46020</v>
      </c>
    </row>
    <row r="2" spans="1:27" ht="47.1" customHeight="1">
      <c r="A2" s="83" t="s">
        <v>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40"/>
    </row>
    <row r="3" spans="1:27" ht="17.100000000000001" hidden="1" customHeight="1">
      <c r="A3" s="4"/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X3" s="6"/>
    </row>
    <row r="4" spans="1:27" ht="17.100000000000001" hidden="1" customHeight="1">
      <c r="A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X4" s="6"/>
    </row>
    <row r="5" spans="1:27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6"/>
    </row>
    <row r="6" spans="1:27" s="10" customFormat="1" ht="29.1" customHeight="1">
      <c r="A6" s="87" t="str">
        <f>"MONDAY (" &amp; TEXT($AA$1, "d mmm") &amp; ")"</f>
        <v>MONDAY (29 Dec)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2"/>
    </row>
    <row r="7" spans="1:27">
      <c r="A7" s="94" t="s">
        <v>25</v>
      </c>
      <c r="B7" s="95" t="s">
        <v>26</v>
      </c>
      <c r="C7" s="96" t="s">
        <v>27</v>
      </c>
      <c r="D7" s="98" t="s">
        <v>28</v>
      </c>
      <c r="E7" s="143"/>
      <c r="F7" s="99" t="s">
        <v>29</v>
      </c>
      <c r="G7" s="143"/>
      <c r="H7" s="99" t="s">
        <v>30</v>
      </c>
      <c r="I7" s="143"/>
      <c r="J7" s="99" t="s">
        <v>31</v>
      </c>
      <c r="K7" s="143"/>
      <c r="L7" s="91" t="s">
        <v>32</v>
      </c>
      <c r="M7" s="92"/>
      <c r="N7" s="91" t="s">
        <v>33</v>
      </c>
      <c r="O7" s="92"/>
      <c r="P7" s="91" t="s">
        <v>34</v>
      </c>
      <c r="Q7" s="92"/>
      <c r="R7" s="91" t="s">
        <v>35</v>
      </c>
      <c r="S7" s="92"/>
      <c r="T7" s="91" t="s">
        <v>36</v>
      </c>
      <c r="U7" s="92"/>
      <c r="V7" s="93" t="s">
        <v>37</v>
      </c>
      <c r="W7" s="100" t="s">
        <v>38</v>
      </c>
      <c r="X7" s="102" t="s">
        <v>39</v>
      </c>
    </row>
    <row r="8" spans="1:27" ht="15.95" customHeight="1">
      <c r="A8" s="144"/>
      <c r="B8" s="145"/>
      <c r="C8" s="97"/>
      <c r="D8" s="32">
        <v>0</v>
      </c>
      <c r="E8" s="15">
        <v>30</v>
      </c>
      <c r="F8" s="16">
        <v>0</v>
      </c>
      <c r="G8" s="17">
        <v>30</v>
      </c>
      <c r="H8" s="16">
        <v>0</v>
      </c>
      <c r="I8" s="17">
        <v>30</v>
      </c>
      <c r="J8" s="16">
        <v>0</v>
      </c>
      <c r="K8" s="17">
        <v>30</v>
      </c>
      <c r="L8" s="16">
        <v>0</v>
      </c>
      <c r="M8" s="17">
        <v>30</v>
      </c>
      <c r="N8" s="16">
        <v>0</v>
      </c>
      <c r="O8" s="17">
        <v>30</v>
      </c>
      <c r="P8" s="14">
        <v>0</v>
      </c>
      <c r="Q8" s="15">
        <v>30</v>
      </c>
      <c r="R8" s="14">
        <v>0</v>
      </c>
      <c r="S8" s="15">
        <v>30</v>
      </c>
      <c r="T8" s="14">
        <v>0</v>
      </c>
      <c r="U8" s="15">
        <v>30</v>
      </c>
      <c r="V8" s="146"/>
      <c r="W8" s="101"/>
      <c r="X8" s="147"/>
    </row>
    <row r="9" spans="1:27" ht="20.100000000000001" customHeight="1">
      <c r="A9" s="88" t="s">
        <v>40</v>
      </c>
      <c r="B9" s="21" t="s">
        <v>41</v>
      </c>
      <c r="C9" s="34" t="b">
        <v>0</v>
      </c>
      <c r="D9" s="28"/>
      <c r="E9" s="23"/>
      <c r="F9" s="22"/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38" t="str" cm="1">
        <f t="array" aca="1" ref="V9" ca="1">IF(C9=TRUE, "OFF", IF(COUNTIF(D9:U9,"In")=0, "-", IF(COUNTIF(D9:U9,"In")=1, INDEX($D$3:$U$3, MATCH("In",D9:U9,0)) &amp; " - " &amp; INDEX($D$4:$U$4, MATCH("Out",D9:U9,0)), INDEX($D$3:$U$3, MATCH("In",D9:U9,0)) &amp; " - " &amp; INDEX($D$4:$U$4, MATCH("Out",D9:U9,0)) &amp; ", " &amp; INDEX($D$3:$U$3, MATCH("Out",D9:U9,0) + MATCH("In", OFFSET(D9,0,MATCH("Out",D9:U9,0),1,18-MATCH("Out",D9:U9,0)),0)) &amp; " - " &amp; INDEX($D$4:$U$4, MATCH("Out",D9:U9,0) + MATCH("In", OFFSET(D9,0,MATCH("Out",D9:U9,0),1,18-MATCH("Out",D9:U9,0)),0) + MATCH("Out", OFFSET(D9,0,MATCH("Out",D9:U9,0)+MATCH("In", OFFSET(D9,0,MATCH("Out",D9:U9,0),1,18-MATCH("Out",D9:U9,0)),0),1,18-(MATCH("Out",D9:U9,0)+MATCH("In", OFFSET(D9,0,MATCH("Out",D9:U9,0),1,18-MATCH("Out",D9:U9,0)),0))),0)))))</f>
        <v>-</v>
      </c>
      <c r="W9" s="1" t="s">
        <v>44</v>
      </c>
      <c r="X9" s="7"/>
    </row>
    <row r="10" spans="1:27" ht="20.100000000000001" customHeight="1">
      <c r="A10" s="148"/>
      <c r="B10" s="24" t="s">
        <v>45</v>
      </c>
      <c r="C10" s="35" t="b">
        <v>0</v>
      </c>
      <c r="D10" s="29"/>
      <c r="E10" s="12"/>
      <c r="F10" s="11"/>
      <c r="G10" s="12"/>
      <c r="H10" s="11"/>
      <c r="I10" s="12"/>
      <c r="J10" s="11"/>
      <c r="K10" s="1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39" t="str" cm="1">
        <f t="array" aca="1" ref="V10" ca="1">IF(C10=TRUE, "OFF", IF(COUNTIF(D10:U10,"In")=0, "-", IF(COUNTIF(D10:U10,"In")=1, INDEX($D$3:$U$3, MATCH("In",D10:U10,0)) &amp; " - " &amp; INDEX($D$4:$U$4, MATCH("Out",D10:U10,0)), INDEX($D$3:$U$3, MATCH("In",D10:U10,0)) &amp; " - " &amp; INDEX($D$4:$U$4, MATCH("Out",D10:U10,0)) &amp; ", " &amp; INDEX($D$3:$U$3, MATCH("Out",D10:U10,0) + MATCH("In", OFFSET(D10,0,MATCH("Out",D10:U10,0),1,18-MATCH("Out",D10:U10,0)),0)) &amp; " - " &amp; INDEX($D$4:$U$4, MATCH("Out",D10:U10,0) + MATCH("In", OFFSET(D10,0,MATCH("Out",D10:U10,0),1,18-MATCH("Out",D10:U10,0)),0) + MATCH("Out", OFFSET(D10,0,MATCH("Out",D10:U10,0)+MATCH("In", OFFSET(D10,0,MATCH("Out",D10:U10,0),1,18-MATCH("Out",D10:U10,0)),0),1,18-(MATCH("Out",D10:U10,0)+MATCH("In", OFFSET(D10,0,MATCH("Out",D10:U10,0),1,18-MATCH("Out",D10:U10,0)),0))),0)))))</f>
        <v>-</v>
      </c>
      <c r="W10" s="1" t="s">
        <v>44</v>
      </c>
      <c r="X10" s="7"/>
    </row>
    <row r="11" spans="1:27" ht="20.100000000000001" customHeight="1">
      <c r="A11" s="89" t="s">
        <v>46</v>
      </c>
      <c r="B11" s="18" t="s">
        <v>47</v>
      </c>
      <c r="C11" s="36" t="b">
        <v>0</v>
      </c>
      <c r="D11" s="30"/>
      <c r="E11" s="20"/>
      <c r="F11" s="19"/>
      <c r="G11" s="20"/>
      <c r="H11" s="19"/>
      <c r="I11" s="20"/>
      <c r="J11" s="19"/>
      <c r="K11" s="20"/>
      <c r="L11" s="19"/>
      <c r="M11" s="20"/>
      <c r="N11" s="19"/>
      <c r="O11" s="20"/>
      <c r="P11" s="19"/>
      <c r="Q11" s="20"/>
      <c r="R11" s="19"/>
      <c r="S11" s="20"/>
      <c r="T11" s="19"/>
      <c r="U11" s="20"/>
      <c r="V11" s="39" t="str" cm="1">
        <f t="array" aca="1" ref="V11" ca="1">IF(C11=TRUE, "OFF", IF(COUNTIF(D11:U11,"In")=0, "-", IF(COUNTIF(D11:U11,"In")=1, INDEX($D$3:$U$3, MATCH("In",D11:U11,0)) &amp; " - " &amp; INDEX($D$4:$U$4, MATCH("Out",D11:U11,0)), INDEX($D$3:$U$3, MATCH("In",D11:U11,0)) &amp; " - " &amp; INDEX($D$4:$U$4, MATCH("Out",D11:U11,0)) &amp; ", " &amp; INDEX($D$3:$U$3, MATCH("Out",D11:U11,0) + MATCH("In", OFFSET(D11,0,MATCH("Out",D11:U11,0),1,18-MATCH("Out",D11:U11,0)),0)) &amp; " - " &amp; INDEX($D$4:$U$4, MATCH("Out",D11:U11,0) + MATCH("In", OFFSET(D11,0,MATCH("Out",D11:U11,0),1,18-MATCH("Out",D11:U11,0)),0) + MATCH("Out", OFFSET(D11,0,MATCH("Out",D11:U11,0)+MATCH("In", OFFSET(D11,0,MATCH("Out",D11:U11,0),1,18-MATCH("Out",D11:U11,0)),0),1,18-(MATCH("Out",D11:U11,0)+MATCH("In", OFFSET(D11,0,MATCH("Out",D11:U11,0),1,18-MATCH("Out",D11:U11,0)),0))),0)))))</f>
        <v>-</v>
      </c>
      <c r="W11" s="1" t="s">
        <v>44</v>
      </c>
      <c r="X11" s="7"/>
    </row>
    <row r="12" spans="1:27" ht="20.100000000000001" customHeight="1">
      <c r="A12" s="149"/>
      <c r="B12" s="13" t="s">
        <v>48</v>
      </c>
      <c r="C12" s="37" t="b">
        <v>0</v>
      </c>
      <c r="D12" s="31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33" t="str" cm="1">
        <f t="array" aca="1" ref="V12" ca="1">IF(C12=TRUE, "OFF", IF(COUNTIF(D12:U12,"In")=0, "-", IF(COUNTIF(D12:U12,"In")=1, INDEX($D$3:$U$3, MATCH("In",D12:U12,0)) &amp; " - " &amp; INDEX($D$4:$U$4, MATCH("Out",D12:U12,0)), INDEX($D$3:$U$3, MATCH("In",D12:U12,0)) &amp; " - " &amp; INDEX($D$4:$U$4, MATCH("Out",D12:U12,0)) &amp; ", " &amp; INDEX($D$3:$U$3, MATCH("Out",D12:U12,0) + MATCH("In", OFFSET(D12,0,MATCH("Out",D12:U12,0),1,18-MATCH("Out",D12:U12,0)),0)) &amp; " - " &amp; INDEX($D$4:$U$4, MATCH("Out",D12:U12,0) + MATCH("In", OFFSET(D12,0,MATCH("Out",D12:U12,0),1,18-MATCH("Out",D12:U12,0)),0) + MATCH("Out", OFFSET(D12,0,MATCH("Out",D12:U12,0)+MATCH("In", OFFSET(D12,0,MATCH("Out",D12:U12,0),1,18-MATCH("Out",D12:U12,0)),0),1,18-(MATCH("Out",D12:U12,0)+MATCH("In", OFFSET(D12,0,MATCH("Out",D12:U12,0),1,18-MATCH("Out",D12:U12,0)),0))),0)))))</f>
        <v>-</v>
      </c>
      <c r="W12" s="8" t="s">
        <v>44</v>
      </c>
      <c r="X12" s="9"/>
    </row>
    <row r="13" spans="1:27" ht="20.100000000000001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6"/>
    </row>
    <row r="14" spans="1:27" s="10" customFormat="1" ht="29.1" customHeight="1">
      <c r="A14" s="90" t="str">
        <f>"TUESDAY (" &amp; TEXT($AA$1+1, "d mmm") &amp; ")"</f>
        <v>TUESDAY (30 Dec)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1"/>
    </row>
    <row r="15" spans="1:27" ht="18" customHeight="1">
      <c r="A15" s="94" t="s">
        <v>25</v>
      </c>
      <c r="B15" s="95" t="s">
        <v>26</v>
      </c>
      <c r="C15" s="96" t="s">
        <v>27</v>
      </c>
      <c r="D15" s="98" t="s">
        <v>28</v>
      </c>
      <c r="E15" s="143"/>
      <c r="F15" s="99" t="s">
        <v>29</v>
      </c>
      <c r="G15" s="143"/>
      <c r="H15" s="99" t="s">
        <v>30</v>
      </c>
      <c r="I15" s="143"/>
      <c r="J15" s="99" t="s">
        <v>31</v>
      </c>
      <c r="K15" s="143"/>
      <c r="L15" s="91" t="s">
        <v>32</v>
      </c>
      <c r="M15" s="92"/>
      <c r="N15" s="91" t="s">
        <v>33</v>
      </c>
      <c r="O15" s="92"/>
      <c r="P15" s="91" t="s">
        <v>34</v>
      </c>
      <c r="Q15" s="92"/>
      <c r="R15" s="91" t="s">
        <v>35</v>
      </c>
      <c r="S15" s="92"/>
      <c r="T15" s="91" t="s">
        <v>36</v>
      </c>
      <c r="U15" s="92"/>
      <c r="V15" s="103" t="s">
        <v>37</v>
      </c>
      <c r="W15" s="104" t="s">
        <v>38</v>
      </c>
      <c r="X15" s="105" t="s">
        <v>39</v>
      </c>
    </row>
    <row r="16" spans="1:27" ht="15.95" customHeight="1">
      <c r="A16" s="144"/>
      <c r="B16" s="145"/>
      <c r="C16" s="97"/>
      <c r="D16" s="32">
        <v>0</v>
      </c>
      <c r="E16" s="15">
        <v>30</v>
      </c>
      <c r="F16" s="16">
        <v>0</v>
      </c>
      <c r="G16" s="17">
        <v>30</v>
      </c>
      <c r="H16" s="16">
        <v>0</v>
      </c>
      <c r="I16" s="17">
        <v>30</v>
      </c>
      <c r="J16" s="16">
        <v>0</v>
      </c>
      <c r="K16" s="17">
        <v>30</v>
      </c>
      <c r="L16" s="16">
        <v>0</v>
      </c>
      <c r="M16" s="17">
        <v>30</v>
      </c>
      <c r="N16" s="16">
        <v>0</v>
      </c>
      <c r="O16" s="17">
        <v>30</v>
      </c>
      <c r="P16" s="14">
        <v>0</v>
      </c>
      <c r="Q16" s="15">
        <v>30</v>
      </c>
      <c r="R16" s="14">
        <v>0</v>
      </c>
      <c r="S16" s="15">
        <v>30</v>
      </c>
      <c r="T16" s="14">
        <v>0</v>
      </c>
      <c r="U16" s="15">
        <v>30</v>
      </c>
      <c r="V16" s="146"/>
      <c r="W16" s="101"/>
      <c r="X16" s="147"/>
    </row>
    <row r="17" spans="1:24" ht="20.100000000000001" customHeight="1">
      <c r="A17" s="88" t="s">
        <v>40</v>
      </c>
      <c r="B17" s="21" t="s">
        <v>41</v>
      </c>
      <c r="C17" s="34" t="b">
        <v>0</v>
      </c>
      <c r="D17" s="28"/>
      <c r="E17" s="23"/>
      <c r="F17" s="22"/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38" t="str" cm="1">
        <f t="array" aca="1" ref="V17" ca="1">IF(C17=TRUE, "OFF", IF(COUNTIF(D17:U17,"In")=0, "-", IF(COUNTIF(D17:U17,"In")=1, INDEX($D$3:$U$3, MATCH("In",D17:U17,0)) &amp; " - " &amp; INDEX($D$4:$U$4, MATCH("Out",D17:U17,0)), INDEX($D$3:$U$3, MATCH("In",D17:U17,0)) &amp; " - " &amp; INDEX($D$4:$U$4, MATCH("Out",D17:U17,0)) &amp; ", " &amp; INDEX($D$3:$U$3, MATCH("Out",D17:U17,0) + MATCH("In", OFFSET(D17,0,MATCH("Out",D17:U17,0),1,18-MATCH("Out",D17:U17,0)),0)) &amp; " - " &amp; INDEX($D$4:$U$4, MATCH("Out",D17:U17,0) + MATCH("In", OFFSET(D17,0,MATCH("Out",D17:U17,0),1,18-MATCH("Out",D17:U17,0)),0) + MATCH("Out", OFFSET(D17,0,MATCH("Out",D17:U17,0)+MATCH("In", OFFSET(D17,0,MATCH("Out",D17:U17,0),1,18-MATCH("Out",D17:U17,0)),0),1,18-(MATCH("Out",D17:U17,0)+MATCH("In", OFFSET(D17,0,MATCH("Out",D17:U17,0),1,18-MATCH("Out",D17:U17,0)),0))),0)))))</f>
        <v>-</v>
      </c>
      <c r="W17" s="1" t="s">
        <v>44</v>
      </c>
      <c r="X17" s="7"/>
    </row>
    <row r="18" spans="1:24" ht="20.100000000000001" customHeight="1">
      <c r="A18" s="148"/>
      <c r="B18" s="24" t="s">
        <v>45</v>
      </c>
      <c r="C18" s="35" t="b">
        <v>0</v>
      </c>
      <c r="D18" s="29"/>
      <c r="E18" s="12"/>
      <c r="F18" s="11"/>
      <c r="G18" s="12"/>
      <c r="H18" s="11"/>
      <c r="I18" s="12"/>
      <c r="J18" s="11"/>
      <c r="K18" s="12"/>
      <c r="L18" s="11"/>
      <c r="M18" s="12"/>
      <c r="N18" s="11"/>
      <c r="O18" s="12"/>
      <c r="P18" s="11"/>
      <c r="Q18" s="12"/>
      <c r="R18" s="11"/>
      <c r="S18" s="12"/>
      <c r="T18" s="11"/>
      <c r="U18" s="12"/>
      <c r="V18" s="39" t="str" cm="1">
        <f t="array" aca="1" ref="V18" ca="1">IF(C18=TRUE, "OFF", IF(COUNTIF(D18:U18,"In")=0, "-", IF(COUNTIF(D18:U18,"In")=1, INDEX($D$3:$U$3, MATCH("In",D18:U18,0)) &amp; " - " &amp; INDEX($D$4:$U$4, MATCH("Out",D18:U18,0)), INDEX($D$3:$U$3, MATCH("In",D18:U18,0)) &amp; " - " &amp; INDEX($D$4:$U$4, MATCH("Out",D18:U18,0)) &amp; ", " &amp; INDEX($D$3:$U$3, MATCH("Out",D18:U18,0) + MATCH("In", OFFSET(D18,0,MATCH("Out",D18:U18,0),1,18-MATCH("Out",D18:U18,0)),0)) &amp; " - " &amp; INDEX($D$4:$U$4, MATCH("Out",D18:U18,0) + MATCH("In", OFFSET(D18,0,MATCH("Out",D18:U18,0),1,18-MATCH("Out",D18:U18,0)),0) + MATCH("Out", OFFSET(D18,0,MATCH("Out",D18:U18,0)+MATCH("In", OFFSET(D18,0,MATCH("Out",D18:U18,0),1,18-MATCH("Out",D18:U18,0)),0),1,18-(MATCH("Out",D18:U18,0)+MATCH("In", OFFSET(D18,0,MATCH("Out",D18:U18,0),1,18-MATCH("Out",D18:U18,0)),0))),0)))))</f>
        <v>-</v>
      </c>
      <c r="W18" s="1" t="s">
        <v>44</v>
      </c>
      <c r="X18" s="7"/>
    </row>
    <row r="19" spans="1:24" ht="20.100000000000001" customHeight="1">
      <c r="A19" s="89" t="s">
        <v>46</v>
      </c>
      <c r="B19" s="18" t="s">
        <v>47</v>
      </c>
      <c r="C19" s="36" t="b">
        <v>0</v>
      </c>
      <c r="D19" s="30"/>
      <c r="E19" s="20"/>
      <c r="F19" s="19"/>
      <c r="G19" s="20"/>
      <c r="H19" s="19"/>
      <c r="I19" s="20"/>
      <c r="J19" s="19"/>
      <c r="K19" s="20"/>
      <c r="L19" s="19"/>
      <c r="M19" s="20"/>
      <c r="N19" s="19"/>
      <c r="O19" s="20"/>
      <c r="P19" s="19"/>
      <c r="Q19" s="20"/>
      <c r="R19" s="19"/>
      <c r="S19" s="20"/>
      <c r="T19" s="19"/>
      <c r="U19" s="20"/>
      <c r="V19" s="39" t="str" cm="1">
        <f t="array" aca="1" ref="V19" ca="1">IF(C19=TRUE, "OFF", IF(COUNTIF(D19:U19,"In")=0, "-", IF(COUNTIF(D19:U19,"In")=1, INDEX($D$3:$U$3, MATCH("In",D19:U19,0)) &amp; " - " &amp; INDEX($D$4:$U$4, MATCH("Out",D19:U19,0)), INDEX($D$3:$U$3, MATCH("In",D19:U19,0)) &amp; " - " &amp; INDEX($D$4:$U$4, MATCH("Out",D19:U19,0)) &amp; ", " &amp; INDEX($D$3:$U$3, MATCH("Out",D19:U19,0) + MATCH("In", OFFSET(D19,0,MATCH("Out",D19:U19,0),1,18-MATCH("Out",D19:U19,0)),0)) &amp; " - " &amp; INDEX($D$4:$U$4, MATCH("Out",D19:U19,0) + MATCH("In", OFFSET(D19,0,MATCH("Out",D19:U19,0),1,18-MATCH("Out",D19:U19,0)),0) + MATCH("Out", OFFSET(D19,0,MATCH("Out",D19:U19,0)+MATCH("In", OFFSET(D19,0,MATCH("Out",D19:U19,0),1,18-MATCH("Out",D19:U19,0)),0),1,18-(MATCH("Out",D19:U19,0)+MATCH("In", OFFSET(D19,0,MATCH("Out",D19:U19,0),1,18-MATCH("Out",D19:U19,0)),0))),0)))))</f>
        <v>-</v>
      </c>
      <c r="W19" s="1" t="s">
        <v>44</v>
      </c>
      <c r="X19" s="7"/>
    </row>
    <row r="20" spans="1:24" ht="20.100000000000001" customHeight="1">
      <c r="A20" s="149"/>
      <c r="B20" s="13" t="s">
        <v>48</v>
      </c>
      <c r="C20" s="37" t="b">
        <v>0</v>
      </c>
      <c r="D20" s="31"/>
      <c r="E20" s="27"/>
      <c r="F20" s="26"/>
      <c r="G20" s="27"/>
      <c r="H20" s="26"/>
      <c r="I20" s="27"/>
      <c r="J20" s="26"/>
      <c r="K20" s="27"/>
      <c r="L20" s="26"/>
      <c r="M20" s="27"/>
      <c r="N20" s="26"/>
      <c r="O20" s="27"/>
      <c r="P20" s="26"/>
      <c r="Q20" s="27"/>
      <c r="R20" s="26"/>
      <c r="S20" s="27"/>
      <c r="T20" s="26"/>
      <c r="U20" s="27"/>
      <c r="V20" s="33" t="str" cm="1">
        <f t="array" aca="1" ref="V20" ca="1">IF(C20=TRUE, "OFF", IF(COUNTIF(D20:U20,"In")=0, "-", IF(COUNTIF(D20:U20,"In")=1, INDEX($D$3:$U$3, MATCH("In",D20:U20,0)) &amp; " - " &amp; INDEX($D$4:$U$4, MATCH("Out",D20:U20,0)), INDEX($D$3:$U$3, MATCH("In",D20:U20,0)) &amp; " - " &amp; INDEX($D$4:$U$4, MATCH("Out",D20:U20,0)) &amp; ", " &amp; INDEX($D$3:$U$3, MATCH("Out",D20:U20,0) + MATCH("In", OFFSET(D20,0,MATCH("Out",D20:U20,0),1,18-MATCH("Out",D20:U20,0)),0)) &amp; " - " &amp; INDEX($D$4:$U$4, MATCH("Out",D20:U20,0) + MATCH("In", OFFSET(D20,0,MATCH("Out",D20:U20,0),1,18-MATCH("Out",D20:U20,0)),0) + MATCH("Out", OFFSET(D20,0,MATCH("Out",D20:U20,0)+MATCH("In", OFFSET(D20,0,MATCH("Out",D20:U20,0),1,18-MATCH("Out",D20:U20,0)),0),1,18-(MATCH("Out",D20:U20,0)+MATCH("In", OFFSET(D20,0,MATCH("Out",D20:U20,0),1,18-MATCH("Out",D20:U20,0)),0))),0)))))</f>
        <v>-</v>
      </c>
      <c r="W20" s="8" t="s">
        <v>44</v>
      </c>
      <c r="X20" s="9"/>
    </row>
    <row r="21" spans="1:24" ht="20.100000000000001" customHeight="1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6"/>
    </row>
    <row r="22" spans="1:24" s="10" customFormat="1" ht="29.1" customHeight="1">
      <c r="A22" s="90" t="str">
        <f>"WEDNESDAY (" &amp; TEXT($AA$1+2, "d mmm") &amp; ")"</f>
        <v>WEDNESDAY (31 Dec)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1"/>
    </row>
    <row r="23" spans="1:24" ht="18" customHeight="1">
      <c r="A23" s="94" t="s">
        <v>25</v>
      </c>
      <c r="B23" s="95" t="s">
        <v>26</v>
      </c>
      <c r="C23" s="96" t="s">
        <v>27</v>
      </c>
      <c r="D23" s="98" t="s">
        <v>28</v>
      </c>
      <c r="E23" s="143"/>
      <c r="F23" s="99" t="s">
        <v>29</v>
      </c>
      <c r="G23" s="143"/>
      <c r="H23" s="99" t="s">
        <v>30</v>
      </c>
      <c r="I23" s="143"/>
      <c r="J23" s="99" t="s">
        <v>31</v>
      </c>
      <c r="K23" s="143"/>
      <c r="L23" s="91" t="s">
        <v>32</v>
      </c>
      <c r="M23" s="92"/>
      <c r="N23" s="91" t="s">
        <v>33</v>
      </c>
      <c r="O23" s="92"/>
      <c r="P23" s="91" t="s">
        <v>34</v>
      </c>
      <c r="Q23" s="92"/>
      <c r="R23" s="91" t="s">
        <v>35</v>
      </c>
      <c r="S23" s="92"/>
      <c r="T23" s="91" t="s">
        <v>36</v>
      </c>
      <c r="U23" s="92"/>
      <c r="V23" s="103" t="s">
        <v>37</v>
      </c>
      <c r="W23" s="104" t="s">
        <v>38</v>
      </c>
      <c r="X23" s="105" t="s">
        <v>39</v>
      </c>
    </row>
    <row r="24" spans="1:24" ht="15.95" customHeight="1">
      <c r="A24" s="144"/>
      <c r="B24" s="145"/>
      <c r="C24" s="97"/>
      <c r="D24" s="32">
        <v>0</v>
      </c>
      <c r="E24" s="15">
        <v>30</v>
      </c>
      <c r="F24" s="16">
        <v>0</v>
      </c>
      <c r="G24" s="17">
        <v>30</v>
      </c>
      <c r="H24" s="16">
        <v>0</v>
      </c>
      <c r="I24" s="17">
        <v>30</v>
      </c>
      <c r="J24" s="16">
        <v>0</v>
      </c>
      <c r="K24" s="17">
        <v>30</v>
      </c>
      <c r="L24" s="16">
        <v>0</v>
      </c>
      <c r="M24" s="17">
        <v>30</v>
      </c>
      <c r="N24" s="16">
        <v>0</v>
      </c>
      <c r="O24" s="17">
        <v>30</v>
      </c>
      <c r="P24" s="14">
        <v>0</v>
      </c>
      <c r="Q24" s="15">
        <v>30</v>
      </c>
      <c r="R24" s="14">
        <v>0</v>
      </c>
      <c r="S24" s="15">
        <v>30</v>
      </c>
      <c r="T24" s="14">
        <v>0</v>
      </c>
      <c r="U24" s="15">
        <v>30</v>
      </c>
      <c r="V24" s="146"/>
      <c r="W24" s="101"/>
      <c r="X24" s="147"/>
    </row>
    <row r="25" spans="1:24" ht="20.100000000000001" customHeight="1">
      <c r="A25" s="88" t="s">
        <v>40</v>
      </c>
      <c r="B25" s="21" t="s">
        <v>41</v>
      </c>
      <c r="C25" s="34" t="b">
        <v>0</v>
      </c>
      <c r="D25" s="28"/>
      <c r="E25" s="23"/>
      <c r="F25" s="22"/>
      <c r="G25" s="23"/>
      <c r="H25" s="22"/>
      <c r="I25" s="23"/>
      <c r="J25" s="22"/>
      <c r="K25" s="23"/>
      <c r="L25" s="22"/>
      <c r="M25" s="23"/>
      <c r="N25" s="22"/>
      <c r="O25" s="23"/>
      <c r="P25" s="22"/>
      <c r="Q25" s="23"/>
      <c r="R25" s="22"/>
      <c r="S25" s="23"/>
      <c r="T25" s="22"/>
      <c r="U25" s="23"/>
      <c r="V25" s="38" t="str" cm="1">
        <f t="array" aca="1" ref="V25" ca="1">IF(C25=TRUE, "OFF", IF(COUNTIF(D25:U25,"In")=0, "-", IF(COUNTIF(D25:U25,"In")=1, INDEX($D$3:$U$3, MATCH("In",D25:U25,0)) &amp; " - " &amp; INDEX($D$4:$U$4, MATCH("Out",D25:U25,0)), INDEX($D$3:$U$3, MATCH("In",D25:U25,0)) &amp; " - " &amp; INDEX($D$4:$U$4, MATCH("Out",D25:U25,0)) &amp; ", " &amp; INDEX($D$3:$U$3, MATCH("Out",D25:U25,0) + MATCH("In", OFFSET(D25,0,MATCH("Out",D25:U25,0),1,18-MATCH("Out",D25:U25,0)),0)) &amp; " - " &amp; INDEX($D$4:$U$4, MATCH("Out",D25:U25,0) + MATCH("In", OFFSET(D25,0,MATCH("Out",D25:U25,0),1,18-MATCH("Out",D25:U25,0)),0) + MATCH("Out", OFFSET(D25,0,MATCH("Out",D25:U25,0)+MATCH("In", OFFSET(D25,0,MATCH("Out",D25:U25,0),1,18-MATCH("Out",D25:U25,0)),0),1,18-(MATCH("Out",D25:U25,0)+MATCH("In", OFFSET(D25,0,MATCH("Out",D25:U25,0),1,18-MATCH("Out",D25:U25,0)),0))),0)))))</f>
        <v>-</v>
      </c>
      <c r="W25" s="1" t="s">
        <v>44</v>
      </c>
      <c r="X25" s="7"/>
    </row>
    <row r="26" spans="1:24" ht="20.100000000000001" customHeight="1">
      <c r="A26" s="148"/>
      <c r="B26" s="24" t="s">
        <v>45</v>
      </c>
      <c r="C26" s="35" t="b">
        <v>0</v>
      </c>
      <c r="D26" s="29"/>
      <c r="E26" s="12"/>
      <c r="F26" s="11"/>
      <c r="G26" s="12"/>
      <c r="H26" s="11"/>
      <c r="I26" s="12"/>
      <c r="J26" s="11"/>
      <c r="K26" s="12"/>
      <c r="L26" s="11"/>
      <c r="M26" s="12"/>
      <c r="N26" s="11"/>
      <c r="O26" s="12"/>
      <c r="P26" s="11"/>
      <c r="Q26" s="12"/>
      <c r="R26" s="11"/>
      <c r="S26" s="12"/>
      <c r="T26" s="11"/>
      <c r="U26" s="12"/>
      <c r="V26" s="39" t="str" cm="1">
        <f t="array" aca="1" ref="V26" ca="1">IF(C26=TRUE, "OFF", IF(COUNTIF(D26:U26,"In")=0, "-", IF(COUNTIF(D26:U26,"In")=1, INDEX($D$3:$U$3, MATCH("In",D26:U26,0)) &amp; " - " &amp; INDEX($D$4:$U$4, MATCH("Out",D26:U26,0)), INDEX($D$3:$U$3, MATCH("In",D26:U26,0)) &amp; " - " &amp; INDEX($D$4:$U$4, MATCH("Out",D26:U26,0)) &amp; ", " &amp; INDEX($D$3:$U$3, MATCH("Out",D26:U26,0) + MATCH("In", OFFSET(D26,0,MATCH("Out",D26:U26,0),1,18-MATCH("Out",D26:U26,0)),0)) &amp; " - " &amp; INDEX($D$4:$U$4, MATCH("Out",D26:U26,0) + MATCH("In", OFFSET(D26,0,MATCH("Out",D26:U26,0),1,18-MATCH("Out",D26:U26,0)),0) + MATCH("Out", OFFSET(D26,0,MATCH("Out",D26:U26,0)+MATCH("In", OFFSET(D26,0,MATCH("Out",D26:U26,0),1,18-MATCH("Out",D26:U26,0)),0),1,18-(MATCH("Out",D26:U26,0)+MATCH("In", OFFSET(D26,0,MATCH("Out",D26:U26,0),1,18-MATCH("Out",D26:U26,0)),0))),0)))))</f>
        <v>-</v>
      </c>
      <c r="W26" s="1" t="s">
        <v>44</v>
      </c>
      <c r="X26" s="7"/>
    </row>
    <row r="27" spans="1:24">
      <c r="A27" s="89" t="s">
        <v>46</v>
      </c>
      <c r="B27" s="18" t="s">
        <v>47</v>
      </c>
      <c r="C27" s="36" t="b">
        <v>0</v>
      </c>
      <c r="D27" s="30"/>
      <c r="E27" s="20"/>
      <c r="F27" s="19"/>
      <c r="G27" s="20"/>
      <c r="H27" s="19"/>
      <c r="I27" s="20"/>
      <c r="J27" s="19"/>
      <c r="K27" s="20"/>
      <c r="L27" s="19"/>
      <c r="M27" s="20"/>
      <c r="N27" s="19"/>
      <c r="O27" s="20"/>
      <c r="P27" s="19"/>
      <c r="Q27" s="20"/>
      <c r="R27" s="19"/>
      <c r="S27" s="20"/>
      <c r="T27" s="19"/>
      <c r="U27" s="20"/>
      <c r="V27" s="39" t="str" cm="1">
        <f t="array" aca="1" ref="V27" ca="1">IF(C27=TRUE, "OFF", IF(COUNTIF(D27:U27,"In")=0, "-", IF(COUNTIF(D27:U27,"In")=1, INDEX($D$3:$U$3, MATCH("In",D27:U27,0)) &amp; " - " &amp; INDEX($D$4:$U$4, MATCH("Out",D27:U27,0)), INDEX($D$3:$U$3, MATCH("In",D27:U27,0)) &amp; " - " &amp; INDEX($D$4:$U$4, MATCH("Out",D27:U27,0)) &amp; ", " &amp; INDEX($D$3:$U$3, MATCH("Out",D27:U27,0) + MATCH("In", OFFSET(D27,0,MATCH("Out",D27:U27,0),1,18-MATCH("Out",D27:U27,0)),0)) &amp; " - " &amp; INDEX($D$4:$U$4, MATCH("Out",D27:U27,0) + MATCH("In", OFFSET(D27,0,MATCH("Out",D27:U27,0),1,18-MATCH("Out",D27:U27,0)),0) + MATCH("Out", OFFSET(D27,0,MATCH("Out",D27:U27,0)+MATCH("In", OFFSET(D27,0,MATCH("Out",D27:U27,0),1,18-MATCH("Out",D27:U27,0)),0),1,18-(MATCH("Out",D27:U27,0)+MATCH("In", OFFSET(D27,0,MATCH("Out",D27:U27,0),1,18-MATCH("Out",D27:U27,0)),0))),0)))))</f>
        <v>-</v>
      </c>
      <c r="W27" s="1" t="s">
        <v>44</v>
      </c>
      <c r="X27" s="7"/>
    </row>
    <row r="28" spans="1:24">
      <c r="A28" s="149"/>
      <c r="B28" s="13" t="s">
        <v>48</v>
      </c>
      <c r="C28" s="37" t="b">
        <v>0</v>
      </c>
      <c r="D28" s="31"/>
      <c r="E28" s="27"/>
      <c r="F28" s="26"/>
      <c r="G28" s="27"/>
      <c r="H28" s="26"/>
      <c r="I28" s="27"/>
      <c r="J28" s="26"/>
      <c r="K28" s="27"/>
      <c r="L28" s="26"/>
      <c r="M28" s="27"/>
      <c r="N28" s="26"/>
      <c r="O28" s="27"/>
      <c r="P28" s="26"/>
      <c r="Q28" s="27"/>
      <c r="R28" s="26"/>
      <c r="S28" s="27"/>
      <c r="T28" s="26"/>
      <c r="U28" s="27"/>
      <c r="V28" s="33" t="str" cm="1">
        <f t="array" aca="1" ref="V28" ca="1">IF(C28=TRUE, "OFF", IF(COUNTIF(D28:U28,"In")=0, "-", IF(COUNTIF(D28:U28,"In")=1, INDEX($D$3:$U$3, MATCH("In",D28:U28,0)) &amp; " - " &amp; INDEX($D$4:$U$4, MATCH("Out",D28:U28,0)), INDEX($D$3:$U$3, MATCH("In",D28:U28,0)) &amp; " - " &amp; INDEX($D$4:$U$4, MATCH("Out",D28:U28,0)) &amp; ", " &amp; INDEX($D$3:$U$3, MATCH("Out",D28:U28,0) + MATCH("In", OFFSET(D28,0,MATCH("Out",D28:U28,0),1,18-MATCH("Out",D28:U28,0)),0)) &amp; " - " &amp; INDEX($D$4:$U$4, MATCH("Out",D28:U28,0) + MATCH("In", OFFSET(D28,0,MATCH("Out",D28:U28,0),1,18-MATCH("Out",D28:U28,0)),0) + MATCH("Out", OFFSET(D28,0,MATCH("Out",D28:U28,0)+MATCH("In", OFFSET(D28,0,MATCH("Out",D28:U28,0),1,18-MATCH("Out",D28:U28,0)),0),1,18-(MATCH("Out",D28:U28,0)+MATCH("In", OFFSET(D28,0,MATCH("Out",D28:U28,0),1,18-MATCH("Out",D28:U28,0)),0))),0)))))</f>
        <v>-</v>
      </c>
      <c r="W28" s="8" t="s">
        <v>44</v>
      </c>
      <c r="X28" s="9"/>
    </row>
    <row r="29" spans="1:24" ht="20.100000000000001" customHeight="1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6"/>
    </row>
    <row r="30" spans="1:24" s="10" customFormat="1" ht="29.1" customHeight="1">
      <c r="A30" s="90" t="str">
        <f>"THURSDAY (" &amp; TEXT($AA$1+3, "d mmm") &amp; ")"</f>
        <v>THURSDAY (1 Jan)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1"/>
    </row>
    <row r="31" spans="1:24" ht="18" customHeight="1">
      <c r="A31" s="94" t="s">
        <v>25</v>
      </c>
      <c r="B31" s="95" t="s">
        <v>26</v>
      </c>
      <c r="C31" s="96" t="s">
        <v>27</v>
      </c>
      <c r="D31" s="98" t="s">
        <v>28</v>
      </c>
      <c r="E31" s="143"/>
      <c r="F31" s="99" t="s">
        <v>29</v>
      </c>
      <c r="G31" s="143"/>
      <c r="H31" s="99" t="s">
        <v>30</v>
      </c>
      <c r="I31" s="143"/>
      <c r="J31" s="99" t="s">
        <v>31</v>
      </c>
      <c r="K31" s="143"/>
      <c r="L31" s="91" t="s">
        <v>32</v>
      </c>
      <c r="M31" s="92"/>
      <c r="N31" s="91" t="s">
        <v>33</v>
      </c>
      <c r="O31" s="92"/>
      <c r="P31" s="91" t="s">
        <v>34</v>
      </c>
      <c r="Q31" s="92"/>
      <c r="R31" s="91" t="s">
        <v>35</v>
      </c>
      <c r="S31" s="92"/>
      <c r="T31" s="91" t="s">
        <v>36</v>
      </c>
      <c r="U31" s="92"/>
      <c r="V31" s="103" t="s">
        <v>37</v>
      </c>
      <c r="W31" s="104" t="s">
        <v>38</v>
      </c>
      <c r="X31" s="105" t="s">
        <v>39</v>
      </c>
    </row>
    <row r="32" spans="1:24" ht="15.95" customHeight="1">
      <c r="A32" s="144"/>
      <c r="B32" s="145"/>
      <c r="C32" s="97"/>
      <c r="D32" s="32">
        <v>0</v>
      </c>
      <c r="E32" s="15">
        <v>30</v>
      </c>
      <c r="F32" s="16">
        <v>0</v>
      </c>
      <c r="G32" s="17">
        <v>30</v>
      </c>
      <c r="H32" s="16">
        <v>0</v>
      </c>
      <c r="I32" s="17">
        <v>30</v>
      </c>
      <c r="J32" s="16">
        <v>0</v>
      </c>
      <c r="K32" s="17">
        <v>30</v>
      </c>
      <c r="L32" s="16">
        <v>0</v>
      </c>
      <c r="M32" s="17">
        <v>30</v>
      </c>
      <c r="N32" s="16">
        <v>0</v>
      </c>
      <c r="O32" s="17">
        <v>30</v>
      </c>
      <c r="P32" s="14">
        <v>0</v>
      </c>
      <c r="Q32" s="15">
        <v>30</v>
      </c>
      <c r="R32" s="14">
        <v>0</v>
      </c>
      <c r="S32" s="15">
        <v>30</v>
      </c>
      <c r="T32" s="14">
        <v>0</v>
      </c>
      <c r="U32" s="15">
        <v>30</v>
      </c>
      <c r="V32" s="146"/>
      <c r="W32" s="101"/>
      <c r="X32" s="147"/>
    </row>
    <row r="33" spans="1:24" ht="20.100000000000001" customHeight="1">
      <c r="A33" s="88" t="s">
        <v>40</v>
      </c>
      <c r="B33" s="21" t="s">
        <v>41</v>
      </c>
      <c r="C33" s="34" t="b">
        <v>0</v>
      </c>
      <c r="D33" s="28"/>
      <c r="E33" s="23"/>
      <c r="F33" s="22"/>
      <c r="G33" s="23"/>
      <c r="H33" s="22"/>
      <c r="I33" s="23"/>
      <c r="J33" s="22"/>
      <c r="K33" s="23"/>
      <c r="L33" s="22"/>
      <c r="M33" s="23"/>
      <c r="N33" s="22"/>
      <c r="O33" s="23"/>
      <c r="P33" s="22"/>
      <c r="Q33" s="23"/>
      <c r="R33" s="22"/>
      <c r="S33" s="23"/>
      <c r="T33" s="22"/>
      <c r="U33" s="23"/>
      <c r="V33" s="38" t="str" cm="1">
        <f t="array" aca="1" ref="V33" ca="1">IF(C33=TRUE, "OFF", IF(COUNTIF(D33:U33,"In")=0, "-", IF(COUNTIF(D33:U33,"In")=1, INDEX($D$3:$U$3, MATCH("In",D33:U33,0)) &amp; " - " &amp; INDEX($D$4:$U$4, MATCH("Out",D33:U33,0)), INDEX($D$3:$U$3, MATCH("In",D33:U33,0)) &amp; " - " &amp; INDEX($D$4:$U$4, MATCH("Out",D33:U33,0)) &amp; ", " &amp; INDEX($D$3:$U$3, MATCH("Out",D33:U33,0) + MATCH("In", OFFSET(D33,0,MATCH("Out",D33:U33,0),1,18-MATCH("Out",D33:U33,0)),0)) &amp; " - " &amp; INDEX($D$4:$U$4, MATCH("Out",D33:U33,0) + MATCH("In", OFFSET(D33,0,MATCH("Out",D33:U33,0),1,18-MATCH("Out",D33:U33,0)),0) + MATCH("Out", OFFSET(D33,0,MATCH("Out",D33:U33,0)+MATCH("In", OFFSET(D33,0,MATCH("Out",D33:U33,0),1,18-MATCH("Out",D33:U33,0)),0),1,18-(MATCH("Out",D33:U33,0)+MATCH("In", OFFSET(D33,0,MATCH("Out",D33:U33,0),1,18-MATCH("Out",D33:U33,0)),0))),0)))))</f>
        <v>-</v>
      </c>
      <c r="W33" s="1" t="s">
        <v>44</v>
      </c>
      <c r="X33" s="7"/>
    </row>
    <row r="34" spans="1:24">
      <c r="A34" s="148"/>
      <c r="B34" s="24" t="s">
        <v>45</v>
      </c>
      <c r="C34" s="35" t="b">
        <v>0</v>
      </c>
      <c r="D34" s="29"/>
      <c r="E34" s="12"/>
      <c r="F34" s="11"/>
      <c r="G34" s="12"/>
      <c r="H34" s="11"/>
      <c r="I34" s="12"/>
      <c r="J34" s="11"/>
      <c r="K34" s="12"/>
      <c r="L34" s="11"/>
      <c r="M34" s="12"/>
      <c r="N34" s="11"/>
      <c r="O34" s="12"/>
      <c r="P34" s="11"/>
      <c r="Q34" s="12"/>
      <c r="R34" s="11"/>
      <c r="S34" s="12"/>
      <c r="T34" s="11"/>
      <c r="U34" s="12"/>
      <c r="V34" s="39" t="str" cm="1">
        <f t="array" aca="1" ref="V34" ca="1">IF(C34=TRUE, "OFF", IF(COUNTIF(D34:U34,"In")=0, "-", IF(COUNTIF(D34:U34,"In")=1, INDEX($D$3:$U$3, MATCH("In",D34:U34,0)) &amp; " - " &amp; INDEX($D$4:$U$4, MATCH("Out",D34:U34,0)), INDEX($D$3:$U$3, MATCH("In",D34:U34,0)) &amp; " - " &amp; INDEX($D$4:$U$4, MATCH("Out",D34:U34,0)) &amp; ", " &amp; INDEX($D$3:$U$3, MATCH("Out",D34:U34,0) + MATCH("In", OFFSET(D34,0,MATCH("Out",D34:U34,0),1,18-MATCH("Out",D34:U34,0)),0)) &amp; " - " &amp; INDEX($D$4:$U$4, MATCH("Out",D34:U34,0) + MATCH("In", OFFSET(D34,0,MATCH("Out",D34:U34,0),1,18-MATCH("Out",D34:U34,0)),0) + MATCH("Out", OFFSET(D34,0,MATCH("Out",D34:U34,0)+MATCH("In", OFFSET(D34,0,MATCH("Out",D34:U34,0),1,18-MATCH("Out",D34:U34,0)),0),1,18-(MATCH("Out",D34:U34,0)+MATCH("In", OFFSET(D34,0,MATCH("Out",D34:U34,0),1,18-MATCH("Out",D34:U34,0)),0))),0)))))</f>
        <v>-</v>
      </c>
      <c r="W34" s="1" t="s">
        <v>44</v>
      </c>
      <c r="X34" s="7"/>
    </row>
    <row r="35" spans="1:24">
      <c r="A35" s="89" t="s">
        <v>46</v>
      </c>
      <c r="B35" s="18" t="s">
        <v>47</v>
      </c>
      <c r="C35" s="36" t="b">
        <v>0</v>
      </c>
      <c r="D35" s="30"/>
      <c r="E35" s="20"/>
      <c r="F35" s="19"/>
      <c r="G35" s="20"/>
      <c r="H35" s="19"/>
      <c r="I35" s="20"/>
      <c r="J35" s="19"/>
      <c r="K35" s="20"/>
      <c r="L35" s="19"/>
      <c r="M35" s="20"/>
      <c r="N35" s="19"/>
      <c r="O35" s="20"/>
      <c r="P35" s="19"/>
      <c r="Q35" s="20"/>
      <c r="R35" s="19"/>
      <c r="S35" s="20"/>
      <c r="T35" s="19"/>
      <c r="U35" s="20"/>
      <c r="V35" s="39" t="str" cm="1">
        <f t="array" aca="1" ref="V35" ca="1">IF(C35=TRUE, "OFF", IF(COUNTIF(D35:U35,"In")=0, "-", IF(COUNTIF(D35:U35,"In")=1, INDEX($D$3:$U$3, MATCH("In",D35:U35,0)) &amp; " - " &amp; INDEX($D$4:$U$4, MATCH("Out",D35:U35,0)), INDEX($D$3:$U$3, MATCH("In",D35:U35,0)) &amp; " - " &amp; INDEX($D$4:$U$4, MATCH("Out",D35:U35,0)) &amp; ", " &amp; INDEX($D$3:$U$3, MATCH("Out",D35:U35,0) + MATCH("In", OFFSET(D35,0,MATCH("Out",D35:U35,0),1,18-MATCH("Out",D35:U35,0)),0)) &amp; " - " &amp; INDEX($D$4:$U$4, MATCH("Out",D35:U35,0) + MATCH("In", OFFSET(D35,0,MATCH("Out",D35:U35,0),1,18-MATCH("Out",D35:U35,0)),0) + MATCH("Out", OFFSET(D35,0,MATCH("Out",D35:U35,0)+MATCH("In", OFFSET(D35,0,MATCH("Out",D35:U35,0),1,18-MATCH("Out",D35:U35,0)),0),1,18-(MATCH("Out",D35:U35,0)+MATCH("In", OFFSET(D35,0,MATCH("Out",D35:U35,0),1,18-MATCH("Out",D35:U35,0)),0))),0)))))</f>
        <v>-</v>
      </c>
      <c r="W35" s="25" t="s">
        <v>44</v>
      </c>
      <c r="X35" s="7"/>
    </row>
    <row r="36" spans="1:24" ht="20.100000000000001" customHeight="1">
      <c r="A36" s="149"/>
      <c r="B36" s="13" t="s">
        <v>48</v>
      </c>
      <c r="C36" s="37" t="b">
        <v>0</v>
      </c>
      <c r="D36" s="31"/>
      <c r="E36" s="27"/>
      <c r="F36" s="26"/>
      <c r="G36" s="27"/>
      <c r="H36" s="26"/>
      <c r="I36" s="27"/>
      <c r="J36" s="26"/>
      <c r="K36" s="27"/>
      <c r="L36" s="26"/>
      <c r="M36" s="27"/>
      <c r="N36" s="26"/>
      <c r="O36" s="27"/>
      <c r="P36" s="26"/>
      <c r="Q36" s="27"/>
      <c r="R36" s="26"/>
      <c r="S36" s="27"/>
      <c r="T36" s="26"/>
      <c r="U36" s="27"/>
      <c r="V36" s="33" t="str" cm="1">
        <f t="array" aca="1" ref="V36" ca="1">IF(C36=TRUE, "OFF", IF(COUNTIF(D36:U36,"In")=0, "-", IF(COUNTIF(D36:U36,"In")=1, INDEX($D$3:$U$3, MATCH("In",D36:U36,0)) &amp; " - " &amp; INDEX($D$4:$U$4, MATCH("Out",D36:U36,0)), INDEX($D$3:$U$3, MATCH("In",D36:U36,0)) &amp; " - " &amp; INDEX($D$4:$U$4, MATCH("Out",D36:U36,0)) &amp; ", " &amp; INDEX($D$3:$U$3, MATCH("Out",D36:U36,0) + MATCH("In", OFFSET(D36,0,MATCH("Out",D36:U36,0),1,18-MATCH("Out",D36:U36,0)),0)) &amp; " - " &amp; INDEX($D$4:$U$4, MATCH("Out",D36:U36,0) + MATCH("In", OFFSET(D36,0,MATCH("Out",D36:U36,0),1,18-MATCH("Out",D36:U36,0)),0) + MATCH("Out", OFFSET(D36,0,MATCH("Out",D36:U36,0)+MATCH("In", OFFSET(D36,0,MATCH("Out",D36:U36,0),1,18-MATCH("Out",D36:U36,0)),0),1,18-(MATCH("Out",D36:U36,0)+MATCH("In", OFFSET(D36,0,MATCH("Out",D36:U36,0),1,18-MATCH("Out",D36:U36,0)),0))),0)))))</f>
        <v>-</v>
      </c>
      <c r="W36" s="8" t="s">
        <v>44</v>
      </c>
      <c r="X36" s="9"/>
    </row>
    <row r="37" spans="1:24" ht="20.100000000000001" customHeigh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6"/>
    </row>
    <row r="38" spans="1:24" s="10" customFormat="1" ht="29.1" customHeight="1">
      <c r="A38" s="90" t="str">
        <f>"FRIDAY (" &amp; TEXT($AA$1+4, "d mmm") &amp; ")"</f>
        <v>FRIDAY (2 Jan)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</row>
    <row r="39" spans="1:24">
      <c r="A39" s="94" t="s">
        <v>25</v>
      </c>
      <c r="B39" s="95" t="s">
        <v>26</v>
      </c>
      <c r="C39" s="96" t="s">
        <v>27</v>
      </c>
      <c r="D39" s="98" t="s">
        <v>28</v>
      </c>
      <c r="E39" s="143"/>
      <c r="F39" s="99" t="s">
        <v>29</v>
      </c>
      <c r="G39" s="143"/>
      <c r="H39" s="99" t="s">
        <v>30</v>
      </c>
      <c r="I39" s="143"/>
      <c r="J39" s="99" t="s">
        <v>31</v>
      </c>
      <c r="K39" s="143"/>
      <c r="L39" s="91" t="s">
        <v>32</v>
      </c>
      <c r="M39" s="92"/>
      <c r="N39" s="91" t="s">
        <v>33</v>
      </c>
      <c r="O39" s="92"/>
      <c r="P39" s="91" t="s">
        <v>34</v>
      </c>
      <c r="Q39" s="92"/>
      <c r="R39" s="91" t="s">
        <v>35</v>
      </c>
      <c r="S39" s="92"/>
      <c r="T39" s="91" t="s">
        <v>36</v>
      </c>
      <c r="U39" s="92"/>
      <c r="V39" s="103" t="s">
        <v>37</v>
      </c>
      <c r="W39" s="104" t="s">
        <v>38</v>
      </c>
      <c r="X39" s="105" t="s">
        <v>39</v>
      </c>
    </row>
    <row r="40" spans="1:24" ht="15.95" customHeight="1">
      <c r="A40" s="144"/>
      <c r="B40" s="145"/>
      <c r="C40" s="97"/>
      <c r="D40" s="32">
        <v>0</v>
      </c>
      <c r="E40" s="15">
        <v>30</v>
      </c>
      <c r="F40" s="16">
        <v>0</v>
      </c>
      <c r="G40" s="17">
        <v>30</v>
      </c>
      <c r="H40" s="16">
        <v>0</v>
      </c>
      <c r="I40" s="17">
        <v>30</v>
      </c>
      <c r="J40" s="16">
        <v>0</v>
      </c>
      <c r="K40" s="17">
        <v>30</v>
      </c>
      <c r="L40" s="16">
        <v>0</v>
      </c>
      <c r="M40" s="17">
        <v>30</v>
      </c>
      <c r="N40" s="16">
        <v>0</v>
      </c>
      <c r="O40" s="17">
        <v>30</v>
      </c>
      <c r="P40" s="14">
        <v>0</v>
      </c>
      <c r="Q40" s="15">
        <v>30</v>
      </c>
      <c r="R40" s="14">
        <v>0</v>
      </c>
      <c r="S40" s="15">
        <v>30</v>
      </c>
      <c r="T40" s="14">
        <v>0</v>
      </c>
      <c r="U40" s="15">
        <v>30</v>
      </c>
      <c r="V40" s="146"/>
      <c r="W40" s="101"/>
      <c r="X40" s="147"/>
    </row>
    <row r="41" spans="1:24" ht="20.100000000000001" customHeight="1">
      <c r="A41" s="88" t="s">
        <v>40</v>
      </c>
      <c r="B41" s="21" t="s">
        <v>41</v>
      </c>
      <c r="C41" s="34" t="b">
        <v>0</v>
      </c>
      <c r="D41" s="28"/>
      <c r="E41" s="23"/>
      <c r="F41" s="22"/>
      <c r="G41" s="23"/>
      <c r="H41" s="22"/>
      <c r="I41" s="23"/>
      <c r="J41" s="22"/>
      <c r="K41" s="23"/>
      <c r="L41" s="22"/>
      <c r="M41" s="23"/>
      <c r="N41" s="22"/>
      <c r="O41" s="23"/>
      <c r="P41" s="22"/>
      <c r="Q41" s="23"/>
      <c r="R41" s="22"/>
      <c r="S41" s="23"/>
      <c r="T41" s="22"/>
      <c r="U41" s="23"/>
      <c r="V41" s="38" t="str" cm="1">
        <f t="array" aca="1" ref="V41" ca="1">IF(C41=TRUE, "OFF", IF(COUNTIF(D41:U41,"In")=0, "-", IF(COUNTIF(D41:U41,"In")=1, INDEX($D$3:$U$3, MATCH("In",D41:U41,0)) &amp; " - " &amp; INDEX($D$4:$U$4, MATCH("Out",D41:U41,0)), INDEX($D$3:$U$3, MATCH("In",D41:U41,0)) &amp; " - " &amp; INDEX($D$4:$U$4, MATCH("Out",D41:U41,0)) &amp; ", " &amp; INDEX($D$3:$U$3, MATCH("Out",D41:U41,0) + MATCH("In", OFFSET(D41,0,MATCH("Out",D41:U41,0),1,18-MATCH("Out",D41:U41,0)),0)) &amp; " - " &amp; INDEX($D$4:$U$4, MATCH("Out",D41:U41,0) + MATCH("In", OFFSET(D41,0,MATCH("Out",D41:U41,0),1,18-MATCH("Out",D41:U41,0)),0) + MATCH("Out", OFFSET(D41,0,MATCH("Out",D41:U41,0)+MATCH("In", OFFSET(D41,0,MATCH("Out",D41:U41,0),1,18-MATCH("Out",D41:U41,0)),0),1,18-(MATCH("Out",D41:U41,0)+MATCH("In", OFFSET(D41,0,MATCH("Out",D41:U41,0),1,18-MATCH("Out",D41:U41,0)),0))),0)))))</f>
        <v>-</v>
      </c>
      <c r="W41" s="1" t="s">
        <v>44</v>
      </c>
      <c r="X41" s="7"/>
    </row>
    <row r="42" spans="1:24" ht="20.100000000000001" customHeight="1">
      <c r="A42" s="148"/>
      <c r="B42" s="24" t="s">
        <v>45</v>
      </c>
      <c r="C42" s="35" t="b">
        <v>0</v>
      </c>
      <c r="D42" s="29"/>
      <c r="E42" s="12"/>
      <c r="F42" s="11"/>
      <c r="G42" s="12"/>
      <c r="H42" s="11"/>
      <c r="I42" s="12"/>
      <c r="J42" s="11"/>
      <c r="K42" s="12"/>
      <c r="L42" s="11"/>
      <c r="M42" s="12"/>
      <c r="N42" s="11"/>
      <c r="O42" s="12"/>
      <c r="P42" s="11"/>
      <c r="Q42" s="12"/>
      <c r="R42" s="11"/>
      <c r="S42" s="12"/>
      <c r="T42" s="11"/>
      <c r="U42" s="12"/>
      <c r="V42" s="39" t="str" cm="1">
        <f t="array" aca="1" ref="V42" ca="1">IF(C42=TRUE, "OFF", IF(COUNTIF(D42:U42,"In")=0, "-", IF(COUNTIF(D42:U42,"In")=1, INDEX($D$3:$U$3, MATCH("In",D42:U42,0)) &amp; " - " &amp; INDEX($D$4:$U$4, MATCH("Out",D42:U42,0)), INDEX($D$3:$U$3, MATCH("In",D42:U42,0)) &amp; " - " &amp; INDEX($D$4:$U$4, MATCH("Out",D42:U42,0)) &amp; ", " &amp; INDEX($D$3:$U$3, MATCH("Out",D42:U42,0) + MATCH("In", OFFSET(D42,0,MATCH("Out",D42:U42,0),1,18-MATCH("Out",D42:U42,0)),0)) &amp; " - " &amp; INDEX($D$4:$U$4, MATCH("Out",D42:U42,0) + MATCH("In", OFFSET(D42,0,MATCH("Out",D42:U42,0),1,18-MATCH("Out",D42:U42,0)),0) + MATCH("Out", OFFSET(D42,0,MATCH("Out",D42:U42,0)+MATCH("In", OFFSET(D42,0,MATCH("Out",D42:U42,0),1,18-MATCH("Out",D42:U42,0)),0),1,18-(MATCH("Out",D42:U42,0)+MATCH("In", OFFSET(D42,0,MATCH("Out",D42:U42,0),1,18-MATCH("Out",D42:U42,0)),0))),0)))))</f>
        <v>-</v>
      </c>
      <c r="W42" s="1" t="s">
        <v>44</v>
      </c>
      <c r="X42" s="7"/>
    </row>
    <row r="43" spans="1:24" ht="20.100000000000001" customHeight="1">
      <c r="A43" s="89" t="s">
        <v>46</v>
      </c>
      <c r="B43" s="18" t="s">
        <v>47</v>
      </c>
      <c r="C43" s="36" t="b">
        <v>0</v>
      </c>
      <c r="D43" s="30"/>
      <c r="E43" s="20"/>
      <c r="F43" s="19"/>
      <c r="G43" s="20"/>
      <c r="H43" s="19"/>
      <c r="I43" s="20"/>
      <c r="J43" s="19"/>
      <c r="K43" s="20"/>
      <c r="L43" s="19"/>
      <c r="M43" s="20"/>
      <c r="N43" s="19"/>
      <c r="O43" s="20"/>
      <c r="P43" s="19"/>
      <c r="Q43" s="20"/>
      <c r="R43" s="19"/>
      <c r="S43" s="20"/>
      <c r="T43" s="19"/>
      <c r="U43" s="20"/>
      <c r="V43" s="39" t="str" cm="1">
        <f t="array" aca="1" ref="V43" ca="1">IF(C43=TRUE, "OFF", IF(COUNTIF(D43:U43,"In")=0, "-", IF(COUNTIF(D43:U43,"In")=1, INDEX($D$3:$U$3, MATCH("In",D43:U43,0)) &amp; " - " &amp; INDEX($D$4:$U$4, MATCH("Out",D43:U43,0)), INDEX($D$3:$U$3, MATCH("In",D43:U43,0)) &amp; " - " &amp; INDEX($D$4:$U$4, MATCH("Out",D43:U43,0)) &amp; ", " &amp; INDEX($D$3:$U$3, MATCH("Out",D43:U43,0) + MATCH("In", OFFSET(D43,0,MATCH("Out",D43:U43,0),1,18-MATCH("Out",D43:U43,0)),0)) &amp; " - " &amp; INDEX($D$4:$U$4, MATCH("Out",D43:U43,0) + MATCH("In", OFFSET(D43,0,MATCH("Out",D43:U43,0),1,18-MATCH("Out",D43:U43,0)),0) + MATCH("Out", OFFSET(D43,0,MATCH("Out",D43:U43,0)+MATCH("In", OFFSET(D43,0,MATCH("Out",D43:U43,0),1,18-MATCH("Out",D43:U43,0)),0),1,18-(MATCH("Out",D43:U43,0)+MATCH("In", OFFSET(D43,0,MATCH("Out",D43:U43,0),1,18-MATCH("Out",D43:U43,0)),0))),0)))))</f>
        <v>-</v>
      </c>
      <c r="W43" s="25" t="s">
        <v>44</v>
      </c>
      <c r="X43" s="7"/>
    </row>
    <row r="44" spans="1:24" ht="20.100000000000001" customHeight="1">
      <c r="A44" s="149"/>
      <c r="B44" s="13" t="s">
        <v>48</v>
      </c>
      <c r="C44" s="37" t="b">
        <v>0</v>
      </c>
      <c r="D44" s="31"/>
      <c r="E44" s="27"/>
      <c r="F44" s="26"/>
      <c r="G44" s="27"/>
      <c r="H44" s="26"/>
      <c r="I44" s="27"/>
      <c r="J44" s="26"/>
      <c r="K44" s="27"/>
      <c r="L44" s="26"/>
      <c r="M44" s="27"/>
      <c r="N44" s="26"/>
      <c r="O44" s="27"/>
      <c r="P44" s="26"/>
      <c r="Q44" s="27"/>
      <c r="R44" s="26"/>
      <c r="S44" s="27"/>
      <c r="T44" s="26"/>
      <c r="U44" s="27"/>
      <c r="V44" s="33" t="str" cm="1">
        <f t="array" aca="1" ref="V44" ca="1">IF(C44=TRUE, "OFF", IF(COUNTIF(D44:U44,"In")=0, "-", IF(COUNTIF(D44:U44,"In")=1, INDEX($D$3:$U$3, MATCH("In",D44:U44,0)) &amp; " - " &amp; INDEX($D$4:$U$4, MATCH("Out",D44:U44,0)), INDEX($D$3:$U$3, MATCH("In",D44:U44,0)) &amp; " - " &amp; INDEX($D$4:$U$4, MATCH("Out",D44:U44,0)) &amp; ", " &amp; INDEX($D$3:$U$3, MATCH("Out",D44:U44,0) + MATCH("In", OFFSET(D44,0,MATCH("Out",D44:U44,0),1,18-MATCH("Out",D44:U44,0)),0)) &amp; " - " &amp; INDEX($D$4:$U$4, MATCH("Out",D44:U44,0) + MATCH("In", OFFSET(D44,0,MATCH("Out",D44:U44,0),1,18-MATCH("Out",D44:U44,0)),0) + MATCH("Out", OFFSET(D44,0,MATCH("Out",D44:U44,0)+MATCH("In", OFFSET(D44,0,MATCH("Out",D44:U44,0),1,18-MATCH("Out",D44:U44,0)),0),1,18-(MATCH("Out",D44:U44,0)+MATCH("In", OFFSET(D44,0,MATCH("Out",D44:U44,0),1,18-MATCH("Out",D44:U44,0)),0))),0)))))</f>
        <v>-</v>
      </c>
      <c r="W44" s="8" t="s">
        <v>44</v>
      </c>
      <c r="X44" s="9"/>
    </row>
  </sheetData>
  <sheetProtection sheet="1" objects="1" scenarios="1"/>
  <mergeCells count="102">
    <mergeCell ref="A1:K1"/>
    <mergeCell ref="L1:M1"/>
    <mergeCell ref="N1:O1"/>
    <mergeCell ref="P1:Q1"/>
    <mergeCell ref="R1:S1"/>
    <mergeCell ref="T1:X1"/>
    <mergeCell ref="A2:X2"/>
    <mergeCell ref="A5:X5"/>
    <mergeCell ref="A6:X6"/>
    <mergeCell ref="A9:A10"/>
    <mergeCell ref="A11:A12"/>
    <mergeCell ref="A13:X13"/>
    <mergeCell ref="A14:X14"/>
    <mergeCell ref="L7:M7"/>
    <mergeCell ref="N7:O7"/>
    <mergeCell ref="P7:Q7"/>
    <mergeCell ref="R7:S7"/>
    <mergeCell ref="T7:U7"/>
    <mergeCell ref="V7:V8"/>
    <mergeCell ref="A7:A8"/>
    <mergeCell ref="B7:B8"/>
    <mergeCell ref="C7:C8"/>
    <mergeCell ref="D7:E7"/>
    <mergeCell ref="F7:G7"/>
    <mergeCell ref="H7:I7"/>
    <mergeCell ref="J7:K7"/>
    <mergeCell ref="W7:W8"/>
    <mergeCell ref="X7:X8"/>
    <mergeCell ref="V15:V16"/>
    <mergeCell ref="W15:W16"/>
    <mergeCell ref="X15:X16"/>
    <mergeCell ref="A17:A18"/>
    <mergeCell ref="A19:A20"/>
    <mergeCell ref="A21:X21"/>
    <mergeCell ref="J15:K15"/>
    <mergeCell ref="L15:M15"/>
    <mergeCell ref="N15:O15"/>
    <mergeCell ref="P15:Q15"/>
    <mergeCell ref="R15:S15"/>
    <mergeCell ref="T15:U15"/>
    <mergeCell ref="A15:A16"/>
    <mergeCell ref="B15:B16"/>
    <mergeCell ref="C15:C16"/>
    <mergeCell ref="D15:E15"/>
    <mergeCell ref="F15:G15"/>
    <mergeCell ref="H15:I15"/>
    <mergeCell ref="P23:Q23"/>
    <mergeCell ref="R23:S23"/>
    <mergeCell ref="T23:U23"/>
    <mergeCell ref="V23:V24"/>
    <mergeCell ref="W23:W24"/>
    <mergeCell ref="X23:X24"/>
    <mergeCell ref="A22:X22"/>
    <mergeCell ref="A23:A24"/>
    <mergeCell ref="B23:B24"/>
    <mergeCell ref="C23:C24"/>
    <mergeCell ref="D23:E23"/>
    <mergeCell ref="F23:G23"/>
    <mergeCell ref="H23:I23"/>
    <mergeCell ref="J23:K23"/>
    <mergeCell ref="L23:M23"/>
    <mergeCell ref="N23:O23"/>
    <mergeCell ref="A25:A26"/>
    <mergeCell ref="A27:A28"/>
    <mergeCell ref="A29:X29"/>
    <mergeCell ref="A30:X30"/>
    <mergeCell ref="A31:A32"/>
    <mergeCell ref="B31:B32"/>
    <mergeCell ref="C31:C32"/>
    <mergeCell ref="D31:E31"/>
    <mergeCell ref="F31:G31"/>
    <mergeCell ref="H31:I31"/>
    <mergeCell ref="V31:V32"/>
    <mergeCell ref="W31:W32"/>
    <mergeCell ref="X31:X32"/>
    <mergeCell ref="A33:A34"/>
    <mergeCell ref="A35:A36"/>
    <mergeCell ref="A37:X37"/>
    <mergeCell ref="J31:K31"/>
    <mergeCell ref="L31:M31"/>
    <mergeCell ref="N31:O31"/>
    <mergeCell ref="P31:Q31"/>
    <mergeCell ref="R31:S31"/>
    <mergeCell ref="T31:U31"/>
    <mergeCell ref="A41:A42"/>
    <mergeCell ref="A43:A44"/>
    <mergeCell ref="P39:Q39"/>
    <mergeCell ref="R39:S39"/>
    <mergeCell ref="T39:U39"/>
    <mergeCell ref="V39:V40"/>
    <mergeCell ref="W39:W40"/>
    <mergeCell ref="X39:X40"/>
    <mergeCell ref="A38:X38"/>
    <mergeCell ref="A39:A40"/>
    <mergeCell ref="B39:B40"/>
    <mergeCell ref="C39:C40"/>
    <mergeCell ref="D39:E39"/>
    <mergeCell ref="F39:G39"/>
    <mergeCell ref="H39:I39"/>
    <mergeCell ref="J39:K39"/>
    <mergeCell ref="L39:M39"/>
    <mergeCell ref="N39:O39"/>
  </mergeCells>
  <phoneticPr fontId="10" type="noConversion"/>
  <conditionalFormatting sqref="D6:U12 D14:U20 D22:U28 D30:U36 D38:U44">
    <cfRule type="expression" dxfId="52" priority="15" stopIfTrue="1">
      <formula>$C6=TRUE</formula>
    </cfRule>
    <cfRule type="expression" dxfId="51" priority="51">
      <formula>OR(COUNTIF($D6:D6,"In")&gt;COUNTIF($D6:D6,"Out"), D6="Out")</formula>
    </cfRule>
    <cfRule type="cellIs" dxfId="50" priority="52" operator="equal">
      <formula>"In"</formula>
    </cfRule>
    <cfRule type="cellIs" dxfId="49" priority="53" operator="equal">
      <formula>"Out"</formula>
    </cfRule>
  </conditionalFormatting>
  <conditionalFormatting sqref="W7:W10 W12">
    <cfRule type="cellIs" dxfId="48" priority="47" operator="equal">
      <formula>"✓ Approved"</formula>
    </cfRule>
    <cfRule type="cellIs" dxfId="47" priority="48" operator="equal">
      <formula>"Pending"</formula>
    </cfRule>
    <cfRule type="cellIs" dxfId="46" priority="49" operator="equal">
      <formula>"Rejected"</formula>
    </cfRule>
    <cfRule type="cellIs" dxfId="45" priority="50" operator="equal">
      <formula>"-"</formula>
    </cfRule>
  </conditionalFormatting>
  <conditionalFormatting sqref="W9:W10 W12">
    <cfRule type="cellIs" dxfId="44" priority="44" operator="equal">
      <formula>"Rejected"</formula>
    </cfRule>
    <cfRule type="cellIs" dxfId="43" priority="45" operator="equal">
      <formula>"Pending"</formula>
    </cfRule>
    <cfRule type="cellIs" dxfId="42" priority="46" operator="equal">
      <formula>"✓ Approved"</formula>
    </cfRule>
  </conditionalFormatting>
  <conditionalFormatting sqref="W15:W20">
    <cfRule type="cellIs" dxfId="41" priority="40" operator="equal">
      <formula>"✓ Approved"</formula>
    </cfRule>
    <cfRule type="cellIs" dxfId="40" priority="41" operator="equal">
      <formula>"Pending"</formula>
    </cfRule>
    <cfRule type="cellIs" dxfId="39" priority="42" operator="equal">
      <formula>"Rejected"</formula>
    </cfRule>
    <cfRule type="cellIs" dxfId="38" priority="43" operator="equal">
      <formula>"-"</formula>
    </cfRule>
  </conditionalFormatting>
  <conditionalFormatting sqref="W17:W20">
    <cfRule type="cellIs" dxfId="37" priority="37" operator="equal">
      <formula>"Rejected"</formula>
    </cfRule>
    <cfRule type="cellIs" dxfId="36" priority="38" operator="equal">
      <formula>"Pending"</formula>
    </cfRule>
    <cfRule type="cellIs" dxfId="35" priority="39" operator="equal">
      <formula>"✓ Approved"</formula>
    </cfRule>
  </conditionalFormatting>
  <conditionalFormatting sqref="W23:W26 W28">
    <cfRule type="cellIs" dxfId="34" priority="33" operator="equal">
      <formula>"✓ Approved"</formula>
    </cfRule>
    <cfRule type="cellIs" dxfId="33" priority="34" operator="equal">
      <formula>"Pending"</formula>
    </cfRule>
    <cfRule type="cellIs" dxfId="32" priority="35" operator="equal">
      <formula>"Rejected"</formula>
    </cfRule>
    <cfRule type="cellIs" dxfId="31" priority="36" operator="equal">
      <formula>"-"</formula>
    </cfRule>
  </conditionalFormatting>
  <conditionalFormatting sqref="W25:W26 W28">
    <cfRule type="cellIs" dxfId="30" priority="30" operator="equal">
      <formula>"Rejected"</formula>
    </cfRule>
    <cfRule type="cellIs" dxfId="29" priority="31" operator="equal">
      <formula>"Pending"</formula>
    </cfRule>
    <cfRule type="cellIs" dxfId="28" priority="32" operator="equal">
      <formula>"✓ Approved"</formula>
    </cfRule>
  </conditionalFormatting>
  <conditionalFormatting sqref="W31:W36">
    <cfRule type="cellIs" dxfId="27" priority="26" operator="equal">
      <formula>"✓ Approved"</formula>
    </cfRule>
    <cfRule type="cellIs" dxfId="26" priority="27" operator="equal">
      <formula>"Pending"</formula>
    </cfRule>
    <cfRule type="cellIs" dxfId="25" priority="28" operator="equal">
      <formula>"Rejected"</formula>
    </cfRule>
    <cfRule type="cellIs" dxfId="24" priority="29" operator="equal">
      <formula>"-"</formula>
    </cfRule>
  </conditionalFormatting>
  <conditionalFormatting sqref="W33:W36">
    <cfRule type="cellIs" dxfId="23" priority="23" operator="equal">
      <formula>"Rejected"</formula>
    </cfRule>
    <cfRule type="cellIs" dxfId="22" priority="24" operator="equal">
      <formula>"Pending"</formula>
    </cfRule>
    <cfRule type="cellIs" dxfId="21" priority="25" operator="equal">
      <formula>"✓ Approved"</formula>
    </cfRule>
  </conditionalFormatting>
  <conditionalFormatting sqref="W39:W44">
    <cfRule type="cellIs" dxfId="20" priority="19" operator="equal">
      <formula>"✓ Approved"</formula>
    </cfRule>
    <cfRule type="cellIs" dxfId="19" priority="20" operator="equal">
      <formula>"Pending"</formula>
    </cfRule>
    <cfRule type="cellIs" dxfId="18" priority="21" operator="equal">
      <formula>"Rejected"</formula>
    </cfRule>
    <cfRule type="cellIs" dxfId="17" priority="22" operator="equal">
      <formula>"-"</formula>
    </cfRule>
  </conditionalFormatting>
  <conditionalFormatting sqref="W41:W44">
    <cfRule type="cellIs" dxfId="16" priority="16" operator="equal">
      <formula>"Rejected"</formula>
    </cfRule>
    <cfRule type="cellIs" dxfId="15" priority="17" operator="equal">
      <formula>"Pending"</formula>
    </cfRule>
    <cfRule type="cellIs" dxfId="14" priority="18" operator="equal">
      <formula>"✓ Approved"</formula>
    </cfRule>
  </conditionalFormatting>
  <conditionalFormatting sqref="W11">
    <cfRule type="cellIs" dxfId="13" priority="11" operator="equal">
      <formula>"✓ Approved"</formula>
    </cfRule>
    <cfRule type="cellIs" dxfId="12" priority="12" operator="equal">
      <formula>"Pending"</formula>
    </cfRule>
    <cfRule type="cellIs" dxfId="11" priority="13" operator="equal">
      <formula>"Rejected"</formula>
    </cfRule>
    <cfRule type="cellIs" dxfId="10" priority="14" operator="equal">
      <formula>"-"</formula>
    </cfRule>
  </conditionalFormatting>
  <conditionalFormatting sqref="W11">
    <cfRule type="cellIs" dxfId="9" priority="8" operator="equal">
      <formula>"Rejected"</formula>
    </cfRule>
    <cfRule type="cellIs" dxfId="8" priority="9" operator="equal">
      <formula>"Pending"</formula>
    </cfRule>
    <cfRule type="cellIs" dxfId="7" priority="10" operator="equal">
      <formula>"✓ Approved"</formula>
    </cfRule>
  </conditionalFormatting>
  <conditionalFormatting sqref="W27">
    <cfRule type="cellIs" dxfId="6" priority="4" operator="equal">
      <formula>"✓ Approved"</formula>
    </cfRule>
    <cfRule type="cellIs" dxfId="5" priority="5" operator="equal">
      <formula>"Pending"</formula>
    </cfRule>
    <cfRule type="cellIs" dxfId="4" priority="6" operator="equal">
      <formula>"Rejected"</formula>
    </cfRule>
    <cfRule type="cellIs" dxfId="3" priority="7" operator="equal">
      <formula>"-"</formula>
    </cfRule>
  </conditionalFormatting>
  <conditionalFormatting sqref="W27">
    <cfRule type="cellIs" dxfId="2" priority="1" operator="equal">
      <formula>"Rejected"</formula>
    </cfRule>
    <cfRule type="cellIs" dxfId="1" priority="2" operator="equal">
      <formula>"Pending"</formula>
    </cfRule>
    <cfRule type="cellIs" dxfId="0" priority="3" operator="equal">
      <formula>"✓ Approved"</formula>
    </cfRule>
  </conditionalFormatting>
  <dataValidations count="1">
    <dataValidation type="list" allowBlank="1" showInputMessage="1" showErrorMessage="1" sqref="W17:W20 W33:W36 W41:W44 W9:W12 W25:W28" xr:uid="{A78550CE-33E5-43A9-BD59-322FD988E76F}">
      <formula1>"✓ Approved, Pending, Rejected, -"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D63E7628-B6EC-4D6C-BBB1-C591A0E1DCDA}">
          <x14:formula1>
            <xm:f>Lists!$A$2:$A$53</xm:f>
          </x14:formula1>
          <xm:sqref>R1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D039F32FBA3642A3F6260402A517E4" ma:contentTypeVersion="17" ma:contentTypeDescription="Create a new document." ma:contentTypeScope="" ma:versionID="31b04de9d4e3f9c74ae36af605f9fabe">
  <xsd:schema xmlns:xsd="http://www.w3.org/2001/XMLSchema" xmlns:xs="http://www.w3.org/2001/XMLSchema" xmlns:p="http://schemas.microsoft.com/office/2006/metadata/properties" xmlns:ns2="c7f56374-619d-44e8-9981-d2008b579fd5" xmlns:ns3="b5c4f0d9-e282-4ac2-89af-21644103b4a2" targetNamespace="http://schemas.microsoft.com/office/2006/metadata/properties" ma:root="true" ma:fieldsID="523eec97605a38e4ccdbd1ab4fe83022" ns2:_="" ns3:_="">
    <xsd:import namespace="c7f56374-619d-44e8-9981-d2008b579fd5"/>
    <xsd:import namespace="b5c4f0d9-e282-4ac2-89af-21644103b4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56374-619d-44e8-9981-d2008b579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749783e-388c-49ae-b42e-e6b665d40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4f0d9-e282-4ac2-89af-21644103b4a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fd56c3-10ce-4752-9503-36ef15dac90f}" ma:internalName="TaxCatchAll" ma:showField="CatchAllData" ma:web="b5c4f0d9-e282-4ac2-89af-21644103b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4f0d9-e282-4ac2-89af-21644103b4a2" xsi:nil="true"/>
    <lcf76f155ced4ddcb4097134ff3c332f xmlns="c7f56374-619d-44e8-9981-d2008b579fd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5B7B8F-7382-41E7-8665-603ACFFE68E7}"/>
</file>

<file path=customXml/itemProps2.xml><?xml version="1.0" encoding="utf-8"?>
<ds:datastoreItem xmlns:ds="http://schemas.openxmlformats.org/officeDocument/2006/customXml" ds:itemID="{BFFAE3D1-ECA1-43A3-BA85-5D140B94573D}"/>
</file>

<file path=customXml/itemProps3.xml><?xml version="1.0" encoding="utf-8"?>
<ds:datastoreItem xmlns:ds="http://schemas.openxmlformats.org/officeDocument/2006/customXml" ds:itemID="{661D91DE-BD84-493D-A729-6E37FB939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2026-08-30T22:03:32Z</dcterms:created>
  <dcterms:modified xsi:type="dcterms:W3CDTF">2026-09-23T02:37:22Z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0x010100D1D039F32FBA3642A3F6260402A517E4</vt:lpwstr>
  </property>
  <property fmtid="{D5CDD505-2E9C-101B-9397-08002B2CF9AE}" pid="3" name="MediaServiceImageTags">
    <vt:lpwstr/>
  </property>
</Properties>
</file>